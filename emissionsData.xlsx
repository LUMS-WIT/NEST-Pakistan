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MMITTED\Models\Model-Manuscript\manuscript\"/>
    </mc:Choice>
  </mc:AlternateContent>
  <xr:revisionPtr revIDLastSave="0" documentId="8_{9EF0925D-445E-48A8-A414-ECAA3BEEAA69}" xr6:coauthVersionLast="47" xr6:coauthVersionMax="47" xr10:uidLastSave="{00000000-0000-0000-0000-000000000000}"/>
  <bookViews>
    <workbookView xWindow="-98" yWindow="-98" windowWidth="21795" windowHeight="12975" xr2:uid="{4DF12051-6F35-430F-8BF0-921BE2B0C140}"/>
  </bookViews>
  <sheets>
    <sheet name="MtC" sheetId="1" r:id="rId1"/>
    <sheet name="GDP" sheetId="4" r:id="rId2"/>
    <sheet name="Sequestration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2" i="1"/>
  <c r="F8" i="1"/>
  <c r="B3" i="1"/>
  <c r="B4" i="1"/>
  <c r="E12" i="1"/>
  <c r="E4" i="1" s="1"/>
  <c r="D12" i="1"/>
  <c r="D4" i="1" s="1"/>
  <c r="C12" i="1"/>
  <c r="C4" i="1" s="1"/>
  <c r="C11" i="1"/>
  <c r="C3" i="1" s="1"/>
  <c r="E11" i="1"/>
  <c r="E3" i="1" s="1"/>
  <c r="D11" i="1"/>
  <c r="D3" i="1" s="1"/>
  <c r="D10" i="1"/>
  <c r="D2" i="1" s="1"/>
  <c r="C2" i="1"/>
  <c r="E10" i="1"/>
  <c r="E2" i="1" s="1"/>
  <c r="C23" i="1"/>
  <c r="D23" i="1"/>
  <c r="E23" i="1"/>
  <c r="C24" i="1"/>
  <c r="D24" i="1"/>
  <c r="E24" i="1"/>
  <c r="C25" i="1"/>
  <c r="D25" i="1"/>
  <c r="E25" i="1"/>
  <c r="G26" i="1"/>
  <c r="H26" i="1"/>
  <c r="B7" i="1"/>
  <c r="B6" i="1"/>
  <c r="B5" i="1"/>
  <c r="D15" i="1"/>
  <c r="D7" i="1" s="1"/>
  <c r="C15" i="1"/>
  <c r="C7" i="1" s="1"/>
  <c r="D13" i="1"/>
  <c r="D5" i="1" s="1"/>
  <c r="C13" i="1"/>
  <c r="C5" i="1" s="1"/>
  <c r="C14" i="1"/>
  <c r="C6" i="1" s="1"/>
  <c r="D14" i="1"/>
  <c r="D6" i="1" s="1"/>
  <c r="E15" i="1"/>
  <c r="E7" i="1" s="1"/>
  <c r="E14" i="1"/>
  <c r="E6" i="1" s="1"/>
  <c r="E13" i="1"/>
  <c r="E5" i="1" s="1"/>
  <c r="H16" i="1"/>
  <c r="G16" i="1"/>
</calcChain>
</file>

<file path=xl/sharedStrings.xml><?xml version="1.0" encoding="utf-8"?>
<sst xmlns="http://schemas.openxmlformats.org/spreadsheetml/2006/main" count="39" uniqueCount="11">
  <si>
    <t>year</t>
  </si>
  <si>
    <t>Total</t>
  </si>
  <si>
    <t>Energy &amp; IPPU</t>
  </si>
  <si>
    <t>AFOLU</t>
  </si>
  <si>
    <t>Waste</t>
  </si>
  <si>
    <t>NDC-0</t>
  </si>
  <si>
    <t>NDC-15</t>
  </si>
  <si>
    <t>NDC-50</t>
  </si>
  <si>
    <t>units</t>
  </si>
  <si>
    <t>MtC</t>
  </si>
  <si>
    <t>MtCO2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</si>
</sst>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68B4-C742-4128-AEBB-37B01197E376}">
  <dimension ref="A1:I27"/>
  <sheetViews>
    <sheetView tabSelected="1" workbookViewId="0">
      <selection activeCell="C10" sqref="C10:E10"/>
    </sheetView>
  </sheetViews>
  <sheetFormatPr defaultColWidth="10.59765625" defaultRowHeight="14.25" x14ac:dyDescent="0.45"/>
  <cols>
    <col min="3" max="3" width="11.863281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1994</v>
      </c>
      <c r="B2">
        <f>B10*12/44</f>
        <v>49.554545454545448</v>
      </c>
      <c r="C2">
        <f t="shared" ref="C2:E2" si="0">C10*12/44</f>
        <v>27.007227272727267</v>
      </c>
      <c r="D2">
        <f t="shared" si="0"/>
        <v>21.308454545454545</v>
      </c>
      <c r="E2">
        <f t="shared" si="0"/>
        <v>1.2388636363636361</v>
      </c>
      <c r="I2" t="s">
        <v>9</v>
      </c>
    </row>
    <row r="3" spans="1:9" x14ac:dyDescent="0.45">
      <c r="A3">
        <v>2008</v>
      </c>
      <c r="B3">
        <f t="shared" ref="B3:E4" si="1">B11*12/44</f>
        <v>89.86363636363636</v>
      </c>
      <c r="C3">
        <f t="shared" si="1"/>
        <v>50.952681818181823</v>
      </c>
      <c r="D3">
        <f t="shared" si="1"/>
        <v>36.844090909090909</v>
      </c>
      <c r="E3">
        <f t="shared" si="1"/>
        <v>1.9770000000000001</v>
      </c>
      <c r="I3" t="s">
        <v>9</v>
      </c>
    </row>
    <row r="4" spans="1:9" x14ac:dyDescent="0.45">
      <c r="A4">
        <v>2012</v>
      </c>
      <c r="B4">
        <f t="shared" si="1"/>
        <v>102.02727272727275</v>
      </c>
      <c r="C4">
        <f t="shared" si="1"/>
        <v>52.033909090909098</v>
      </c>
      <c r="D4">
        <f t="shared" si="1"/>
        <v>47.034572727272732</v>
      </c>
      <c r="E4">
        <f t="shared" si="1"/>
        <v>2.8567636363636364</v>
      </c>
      <c r="I4" t="s">
        <v>9</v>
      </c>
    </row>
    <row r="5" spans="1:9" x14ac:dyDescent="0.45">
      <c r="A5">
        <v>2015</v>
      </c>
      <c r="B5">
        <f>B13*12/44</f>
        <v>111.30000000000001</v>
      </c>
      <c r="C5">
        <f>C13*12/44</f>
        <v>56.651700000000005</v>
      </c>
      <c r="D5">
        <f t="shared" ref="D5:E5" si="2">D13*12/44</f>
        <v>50.307600000000008</v>
      </c>
      <c r="E5">
        <f t="shared" si="2"/>
        <v>4.2293999999999992</v>
      </c>
      <c r="I5" t="s">
        <v>9</v>
      </c>
    </row>
    <row r="6" spans="1:9" x14ac:dyDescent="0.45">
      <c r="A6">
        <v>2018</v>
      </c>
      <c r="B6">
        <f>B14*12/44</f>
        <v>133.60090909090911</v>
      </c>
      <c r="C6">
        <f t="shared" ref="C6:E6" si="3">C14*12/44</f>
        <v>66.800454545454556</v>
      </c>
      <c r="D6">
        <f t="shared" si="3"/>
        <v>60.922014545454552</v>
      </c>
      <c r="E6">
        <f t="shared" si="3"/>
        <v>5.8784400000000003</v>
      </c>
      <c r="I6" t="s">
        <v>9</v>
      </c>
    </row>
    <row r="7" spans="1:9" x14ac:dyDescent="0.45">
      <c r="A7">
        <v>2021</v>
      </c>
      <c r="B7">
        <f>B15*12/44</f>
        <v>142.21636363636364</v>
      </c>
      <c r="C7">
        <f t="shared" ref="C7:E7" si="4">C15*12/44</f>
        <v>66.884355818181817</v>
      </c>
      <c r="D7">
        <f t="shared" si="4"/>
        <v>66.486150000000009</v>
      </c>
      <c r="E7">
        <f t="shared" si="4"/>
        <v>8.8458578181818197</v>
      </c>
      <c r="I7" t="s">
        <v>9</v>
      </c>
    </row>
    <row r="8" spans="1:9" x14ac:dyDescent="0.45">
      <c r="A8">
        <v>2030</v>
      </c>
      <c r="F8">
        <f>F16*12/44</f>
        <v>437.18181818181819</v>
      </c>
      <c r="G8">
        <v>371.56</v>
      </c>
      <c r="H8">
        <v>218.75</v>
      </c>
      <c r="I8" t="s">
        <v>9</v>
      </c>
    </row>
    <row r="9" spans="1:9" x14ac:dyDescent="0.45">
      <c r="A9">
        <v>2035</v>
      </c>
      <c r="I9" t="s">
        <v>9</v>
      </c>
    </row>
    <row r="10" spans="1:9" x14ac:dyDescent="0.45">
      <c r="A10">
        <v>1994</v>
      </c>
      <c r="B10">
        <v>181.7</v>
      </c>
      <c r="C10">
        <f>B10*(0.472+0.073)</f>
        <v>99.026499999999984</v>
      </c>
      <c r="D10">
        <f>B10*(0.394+0.036)</f>
        <v>78.131</v>
      </c>
      <c r="E10">
        <f>B10*0.025</f>
        <v>4.5424999999999995</v>
      </c>
      <c r="I10" t="s">
        <v>10</v>
      </c>
    </row>
    <row r="11" spans="1:9" x14ac:dyDescent="0.45">
      <c r="A11">
        <v>2008</v>
      </c>
      <c r="B11">
        <v>329.5</v>
      </c>
      <c r="C11">
        <f>B11*(0.511+0.056)</f>
        <v>186.82650000000001</v>
      </c>
      <c r="D11">
        <f>B11*(0.382+0.028)</f>
        <v>135.095</v>
      </c>
      <c r="E11">
        <f>B11*0.022</f>
        <v>7.2489999999999997</v>
      </c>
      <c r="I11" t="s">
        <v>10</v>
      </c>
    </row>
    <row r="12" spans="1:9" x14ac:dyDescent="0.45">
      <c r="A12">
        <v>2012</v>
      </c>
      <c r="B12">
        <v>374.1</v>
      </c>
      <c r="C12">
        <f>B12*(0.458+0.052)</f>
        <v>190.79100000000003</v>
      </c>
      <c r="D12">
        <f>B12*(0.435+0.026)</f>
        <v>172.46010000000001</v>
      </c>
      <c r="E12">
        <f>B12*0.028</f>
        <v>10.4748</v>
      </c>
      <c r="I12" t="s">
        <v>10</v>
      </c>
    </row>
    <row r="13" spans="1:9" x14ac:dyDescent="0.45">
      <c r="A13">
        <v>2015</v>
      </c>
      <c r="B13">
        <v>408.1</v>
      </c>
      <c r="C13">
        <f>B13*0.455+B13*5.4/100</f>
        <v>207.72290000000001</v>
      </c>
      <c r="D13">
        <f>B13*0.427+B13*2.5/100</f>
        <v>184.46120000000002</v>
      </c>
      <c r="E13">
        <f>B13*3.8/100</f>
        <v>15.5078</v>
      </c>
      <c r="I13" t="s">
        <v>10</v>
      </c>
    </row>
    <row r="14" spans="1:9" x14ac:dyDescent="0.45">
      <c r="A14">
        <v>2018</v>
      </c>
      <c r="B14">
        <v>489.87</v>
      </c>
      <c r="C14">
        <f>B14*0.447+B14*5.3/100</f>
        <v>244.935</v>
      </c>
      <c r="D14">
        <f>B14*0.404+B14*5.2/100</f>
        <v>223.38072000000003</v>
      </c>
      <c r="E14">
        <f>B14*4.4/100</f>
        <v>21.554280000000002</v>
      </c>
      <c r="I14" t="s">
        <v>10</v>
      </c>
    </row>
    <row r="15" spans="1:9" x14ac:dyDescent="0.45">
      <c r="A15">
        <v>2021</v>
      </c>
      <c r="B15">
        <v>521.46</v>
      </c>
      <c r="C15">
        <f>B15*0.409+B15*6.13/100</f>
        <v>245.242638</v>
      </c>
      <c r="D15">
        <f>B15*0.4675</f>
        <v>243.78255000000004</v>
      </c>
      <c r="E15">
        <f>B15*6.22/100</f>
        <v>32.434812000000001</v>
      </c>
      <c r="I15" t="s">
        <v>10</v>
      </c>
    </row>
    <row r="16" spans="1:9" x14ac:dyDescent="0.45">
      <c r="A16">
        <v>2030</v>
      </c>
      <c r="F16">
        <v>1603</v>
      </c>
      <c r="G16">
        <f>F16*0.85</f>
        <v>1362.55</v>
      </c>
      <c r="H16">
        <f>F16*0.5</f>
        <v>801.5</v>
      </c>
      <c r="I16" t="s">
        <v>10</v>
      </c>
    </row>
    <row r="17" spans="1:9" x14ac:dyDescent="0.45">
      <c r="A17">
        <v>2035</v>
      </c>
      <c r="I17" t="s">
        <v>10</v>
      </c>
    </row>
    <row r="22" spans="1:9" x14ac:dyDescent="0.4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x14ac:dyDescent="0.45">
      <c r="A23">
        <v>2015</v>
      </c>
      <c r="B23">
        <v>408.1</v>
      </c>
      <c r="C23">
        <f>B23*0.455+B23*5.4/100</f>
        <v>207.72290000000001</v>
      </c>
      <c r="D23">
        <f>B23*0.427+B23*2.5/100</f>
        <v>184.46120000000002</v>
      </c>
      <c r="E23">
        <f>B23*3.8/100</f>
        <v>15.5078</v>
      </c>
      <c r="I23" t="s">
        <v>10</v>
      </c>
    </row>
    <row r="24" spans="1:9" x14ac:dyDescent="0.45">
      <c r="A24">
        <v>2018</v>
      </c>
      <c r="B24">
        <v>489.87</v>
      </c>
      <c r="C24">
        <f>B24*0.447+B24*5.3/100</f>
        <v>244.935</v>
      </c>
      <c r="D24">
        <f>B24*0.404+B24*5.2/100</f>
        <v>223.38072000000003</v>
      </c>
      <c r="E24">
        <f>B24*4.4/100</f>
        <v>21.554280000000002</v>
      </c>
      <c r="I24" t="s">
        <v>10</v>
      </c>
    </row>
    <row r="25" spans="1:9" x14ac:dyDescent="0.45">
      <c r="A25">
        <v>2021</v>
      </c>
      <c r="B25">
        <v>521.46</v>
      </c>
      <c r="C25">
        <f>B25*0.409+B25*6.13/100</f>
        <v>245.242638</v>
      </c>
      <c r="D25">
        <f>B25*0.4675</f>
        <v>243.78255000000004</v>
      </c>
      <c r="E25">
        <f>B25*6.22/100</f>
        <v>32.434812000000001</v>
      </c>
      <c r="I25" t="s">
        <v>10</v>
      </c>
    </row>
    <row r="26" spans="1:9" x14ac:dyDescent="0.45">
      <c r="A26">
        <v>2030</v>
      </c>
      <c r="F26">
        <v>1603</v>
      </c>
      <c r="G26">
        <f>F26*0.85</f>
        <v>1362.55</v>
      </c>
      <c r="H26">
        <f>F26*0.5</f>
        <v>801.5</v>
      </c>
      <c r="I26" t="s">
        <v>10</v>
      </c>
    </row>
    <row r="27" spans="1:9" x14ac:dyDescent="0.45">
      <c r="A27">
        <v>2035</v>
      </c>
      <c r="I27" t="s">
        <v>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4192-0362-493B-B833-29B8258E64C1}">
  <dimension ref="A1"/>
  <sheetViews>
    <sheetView workbookViewId="0">
      <selection activeCell="D17" sqref="D17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32BA-28C6-43FD-9BA7-B7651F976DB7}">
  <dimension ref="A1"/>
  <sheetViews>
    <sheetView workbookViewId="0">
      <selection activeCell="D17" sqref="D17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MtC</vt:lpstr>
      <vt:lpstr>GDP</vt:lpstr>
      <vt:lpstr>Sequestration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Arfa Yaseen</dc:creator>
  <cp:keywords/>
  <dc:description/>
  <cp:lastModifiedBy>Arfa Yaseen</cp:lastModifiedBy>
  <cp:revision/>
  <dcterms:created xsi:type="dcterms:W3CDTF">2025-05-22T05:31:47Z</dcterms:created>
  <dcterms:modified xsi:type="dcterms:W3CDTF">2026-04-13T15:14:53Z</dcterms:modified>
  <cp:category/>
  <cp:contentStatus/>
</cp:coreProperties>
</file>