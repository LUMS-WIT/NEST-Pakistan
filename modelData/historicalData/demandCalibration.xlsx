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07D6FDFE-DD95-4CD2-B011-C1BCDF2D1D57}" xr6:coauthVersionLast="47" xr6:coauthVersionMax="47" xr10:uidLastSave="{00000000-0000-0000-0000-000000000000}"/>
  <bookViews>
    <workbookView xWindow="6900" yWindow="-16320" windowWidth="29040" windowHeight="16440" xr2:uid="{103DEF7B-089B-4A67-B9E3-93C4CE7D3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36" i="1" s="1"/>
  <c r="C23" i="1"/>
  <c r="G15" i="1"/>
  <c r="M12" i="1" s="1"/>
  <c r="M14" i="1"/>
  <c r="G14" i="1"/>
  <c r="I14" i="1" s="1"/>
  <c r="K14" i="1" s="1"/>
  <c r="D14" i="1"/>
  <c r="C14" i="1"/>
  <c r="G13" i="1"/>
  <c r="I13" i="1" s="1"/>
  <c r="K13" i="1" s="1"/>
  <c r="D13" i="1"/>
  <c r="C13" i="1"/>
  <c r="I12" i="1"/>
  <c r="K12" i="1" s="1"/>
  <c r="D12" i="1"/>
  <c r="C12" i="1"/>
  <c r="M11" i="1"/>
  <c r="I11" i="1"/>
  <c r="K11" i="1" s="1"/>
  <c r="G11" i="1"/>
  <c r="D11" i="1"/>
  <c r="C11" i="1"/>
  <c r="G7" i="1"/>
  <c r="F7" i="1"/>
  <c r="E7" i="1"/>
  <c r="D7" i="1"/>
  <c r="C7" i="1"/>
  <c r="S6" i="1"/>
  <c r="Q6" i="1"/>
  <c r="K6" i="1"/>
  <c r="O6" i="1" s="1"/>
  <c r="J6" i="1"/>
  <c r="N6" i="1" s="1"/>
  <c r="S5" i="1"/>
  <c r="Q5" i="1"/>
  <c r="K5" i="1"/>
  <c r="O5" i="1" s="1"/>
  <c r="J5" i="1"/>
  <c r="N5" i="1" s="1"/>
  <c r="S4" i="1"/>
  <c r="S7" i="1" s="1"/>
  <c r="Q4" i="1"/>
  <c r="Q7" i="1" s="1"/>
  <c r="O4" i="1"/>
  <c r="K4" i="1"/>
  <c r="J4" i="1"/>
  <c r="N4" i="1" s="1"/>
  <c r="S3" i="1"/>
  <c r="Q3" i="1"/>
  <c r="K3" i="1"/>
  <c r="O3" i="1" s="1"/>
  <c r="J3" i="1"/>
  <c r="N3" i="1" s="1"/>
  <c r="N7" i="1" l="1"/>
  <c r="P3" i="1"/>
  <c r="P4" i="1"/>
  <c r="L11" i="1"/>
  <c r="K15" i="1"/>
  <c r="R4" i="1"/>
  <c r="L13" i="1"/>
  <c r="F21" i="1" s="1"/>
  <c r="R3" i="1"/>
  <c r="O7" i="1"/>
  <c r="R5" i="1"/>
  <c r="R6" i="1"/>
  <c r="P5" i="1"/>
  <c r="L12" i="1"/>
  <c r="F20" i="1" s="1"/>
  <c r="P6" i="1"/>
  <c r="L14" i="1"/>
  <c r="I15" i="1"/>
  <c r="C22" i="1" s="1"/>
  <c r="J7" i="1"/>
  <c r="K7" i="1"/>
  <c r="M13" i="1"/>
  <c r="M15" i="1" s="1"/>
  <c r="E14" i="1"/>
  <c r="H21" i="1"/>
  <c r="J21" i="1" s="1"/>
  <c r="F19" i="1" l="1"/>
  <c r="L15" i="1"/>
  <c r="H22" i="1"/>
  <c r="J22" i="1" s="1"/>
  <c r="F22" i="1"/>
  <c r="H19" i="1"/>
  <c r="R7" i="1"/>
  <c r="H30" i="1"/>
  <c r="E30" i="1"/>
  <c r="E37" i="1" s="1"/>
  <c r="E31" i="1"/>
  <c r="E38" i="1" s="1"/>
  <c r="P7" i="1"/>
  <c r="H20" i="1"/>
  <c r="J20" i="1" s="1"/>
  <c r="H29" i="1" l="1"/>
  <c r="J19" i="1"/>
  <c r="H23" i="1"/>
  <c r="K28" i="1" s="1"/>
  <c r="H31" i="1"/>
  <c r="F23" i="1"/>
  <c r="N28" i="1" s="1"/>
  <c r="H28" i="1" l="1"/>
  <c r="H32" i="1" s="1"/>
  <c r="E28" i="1"/>
  <c r="J23" i="1"/>
  <c r="L21" i="1" l="1"/>
  <c r="L20" i="1"/>
  <c r="L22" i="1"/>
  <c r="E35" i="1"/>
  <c r="E32" i="1"/>
  <c r="E33" i="1" s="1"/>
  <c r="L19" i="1"/>
  <c r="L23" i="1" s="1"/>
</calcChain>
</file>

<file path=xl/sharedStrings.xml><?xml version="1.0" encoding="utf-8"?>
<sst xmlns="http://schemas.openxmlformats.org/spreadsheetml/2006/main" count="57" uniqueCount="34">
  <si>
    <t>DEMAND</t>
  </si>
  <si>
    <t>Useful _Tecs ACT (HIST)</t>
  </si>
  <si>
    <t>INP_UsefulTECS</t>
  </si>
  <si>
    <t>Final_Level</t>
  </si>
  <si>
    <t>ELEC_Loss</t>
  </si>
  <si>
    <t>Secondary_Level</t>
  </si>
  <si>
    <t>Ratio_Secondary_Level</t>
  </si>
  <si>
    <t>Ratio_Useful_tec_level</t>
  </si>
  <si>
    <t>R12_PAK</t>
  </si>
  <si>
    <t>i_spec</t>
  </si>
  <si>
    <t>i_therm</t>
  </si>
  <si>
    <t>rc_spec</t>
  </si>
  <si>
    <t>rc_therm</t>
  </si>
  <si>
    <t>Secondary</t>
  </si>
  <si>
    <t>Final (Elec_t_d)</t>
  </si>
  <si>
    <t xml:space="preserve">useful </t>
  </si>
  <si>
    <t>useful check</t>
  </si>
  <si>
    <t>Secondary_Model</t>
  </si>
  <si>
    <t>Secondary_Actual</t>
  </si>
  <si>
    <t>Final_Model</t>
  </si>
  <si>
    <t>Final_Actual</t>
  </si>
  <si>
    <t>check -&gt;</t>
  </si>
  <si>
    <t>Demands (updated)</t>
  </si>
  <si>
    <t>Usefultec(updated) bounds_min</t>
  </si>
  <si>
    <t>final_bounds (elec_t_d)_min</t>
  </si>
  <si>
    <t>sec_bound_min</t>
  </si>
  <si>
    <t>sp_el_I</t>
  </si>
  <si>
    <t>elec_I</t>
  </si>
  <si>
    <t>sp_el_rc</t>
  </si>
  <si>
    <t>elec_rc</t>
  </si>
  <si>
    <t>DELTA</t>
  </si>
  <si>
    <t>Estimated Useful _Tecs ACT (HIST)</t>
  </si>
  <si>
    <t>2025 (avg of 2015 &amp; 2020)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</si>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</sst>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072F-FB92-47B7-A9FF-261C897F051E}">
  <dimension ref="A1:S38"/>
  <sheetViews>
    <sheetView tabSelected="1" workbookViewId="0">
      <selection activeCell="I27" sqref="I27"/>
    </sheetView>
  </sheetViews>
  <sheetFormatPr defaultColWidth="12.59765625" defaultRowHeight="14.25" x14ac:dyDescent="0.45"/>
  <cols>
    <col min="8" max="8" width="27.1328125" customWidth="1"/>
  </cols>
  <sheetData>
    <row r="1" spans="1:19" x14ac:dyDescent="0.45">
      <c r="C1" s="14" t="s">
        <v>0</v>
      </c>
      <c r="D1" s="14"/>
      <c r="E1" s="14"/>
      <c r="F1" s="14" t="s">
        <v>1</v>
      </c>
      <c r="G1" s="14"/>
      <c r="H1" s="14" t="s">
        <v>2</v>
      </c>
      <c r="I1" s="14"/>
      <c r="J1" s="14" t="s">
        <v>3</v>
      </c>
      <c r="K1" s="14"/>
      <c r="L1" s="14" t="s">
        <v>4</v>
      </c>
      <c r="M1" s="14"/>
      <c r="N1" s="14" t="s">
        <v>5</v>
      </c>
      <c r="O1" s="14"/>
      <c r="P1" t="s">
        <v>6</v>
      </c>
      <c r="Q1" t="s">
        <v>7</v>
      </c>
      <c r="R1" t="s">
        <v>6</v>
      </c>
      <c r="S1" t="s">
        <v>7</v>
      </c>
    </row>
    <row r="2" spans="1:19" x14ac:dyDescent="0.45">
      <c r="C2" s="2">
        <v>2015</v>
      </c>
      <c r="D2" s="2">
        <v>2020</v>
      </c>
      <c r="E2" s="2">
        <v>2025</v>
      </c>
      <c r="F2" s="3">
        <v>2015</v>
      </c>
      <c r="G2" s="3">
        <v>2020</v>
      </c>
      <c r="H2" s="4">
        <v>2015</v>
      </c>
      <c r="I2" s="4">
        <v>2020</v>
      </c>
      <c r="J2" s="5">
        <v>2015</v>
      </c>
      <c r="K2" s="5">
        <v>2020</v>
      </c>
      <c r="L2" s="6">
        <v>2015</v>
      </c>
      <c r="M2" s="6">
        <v>2020</v>
      </c>
      <c r="N2" s="7">
        <v>2015</v>
      </c>
      <c r="O2" s="7">
        <v>2020</v>
      </c>
      <c r="P2">
        <v>2015</v>
      </c>
      <c r="Q2">
        <v>2015</v>
      </c>
      <c r="R2">
        <v>2020</v>
      </c>
      <c r="S2">
        <v>2020</v>
      </c>
    </row>
    <row r="3" spans="1:19" x14ac:dyDescent="0.45">
      <c r="A3" t="s">
        <v>8</v>
      </c>
      <c r="B3" t="s">
        <v>9</v>
      </c>
      <c r="C3" s="2">
        <v>2.56</v>
      </c>
      <c r="D3" s="2">
        <v>2.8593999999999999</v>
      </c>
      <c r="E3" s="2">
        <v>3.9398300000000002</v>
      </c>
      <c r="F3" s="3">
        <v>2.1861999999999999</v>
      </c>
      <c r="G3" s="3">
        <v>2.6328999999999998</v>
      </c>
      <c r="H3" s="4">
        <v>1.30725</v>
      </c>
      <c r="I3" s="4">
        <v>1.2987</v>
      </c>
      <c r="J3" s="5">
        <f>F3*H3</f>
        <v>2.8579099499999998</v>
      </c>
      <c r="K3" s="5">
        <f>G3*I3</f>
        <v>3.4193472299999996</v>
      </c>
      <c r="L3" s="6">
        <v>1.36111</v>
      </c>
      <c r="M3" s="6">
        <v>1.3333299999999999</v>
      </c>
      <c r="N3" s="7">
        <f t="shared" ref="N3:O6" si="0">J3*L3</f>
        <v>3.8899298120445001</v>
      </c>
      <c r="O3" s="7">
        <f t="shared" si="0"/>
        <v>4.5591182421758996</v>
      </c>
      <c r="P3">
        <f>N3/($N$3+$N$4+$N$5+$N$6)</f>
        <v>0.27684547111718327</v>
      </c>
      <c r="Q3">
        <f>F3/($F$3+$F$4+$F$5+$F$6)</f>
        <v>0.41427272038202079</v>
      </c>
      <c r="R3">
        <f>O3/($O$3+$O$4+$O$5+$O$6)</f>
        <v>0.25641466082379716</v>
      </c>
      <c r="S3">
        <f>G3/($G$3+$G$4+$G$5+$G$6)</f>
        <v>0.36966991000098282</v>
      </c>
    </row>
    <row r="4" spans="1:19" x14ac:dyDescent="0.45">
      <c r="A4" t="s">
        <v>8</v>
      </c>
      <c r="B4" t="s">
        <v>10</v>
      </c>
      <c r="C4" s="2">
        <v>12.71</v>
      </c>
      <c r="D4" s="2">
        <v>15.9474</v>
      </c>
      <c r="E4" s="2">
        <v>21.332999999999998</v>
      </c>
      <c r="F4" s="3">
        <v>0</v>
      </c>
      <c r="G4" s="3">
        <v>0</v>
      </c>
      <c r="H4" s="4">
        <v>1.1365099999999999</v>
      </c>
      <c r="I4" s="4">
        <v>1.1235900000000001</v>
      </c>
      <c r="J4" s="5">
        <f t="shared" ref="J4:K6" si="1">F4*H4</f>
        <v>0</v>
      </c>
      <c r="K4" s="5">
        <f t="shared" si="1"/>
        <v>0</v>
      </c>
      <c r="L4" s="6">
        <v>1.36111</v>
      </c>
      <c r="M4" s="6">
        <v>1.3333299999999999</v>
      </c>
      <c r="N4" s="7">
        <f t="shared" si="0"/>
        <v>0</v>
      </c>
      <c r="O4" s="7">
        <f t="shared" si="0"/>
        <v>0</v>
      </c>
      <c r="P4">
        <f>N4/($N$3+$N$4+$N$5+$N$6)</f>
        <v>0</v>
      </c>
      <c r="Q4">
        <f>F4/($F$3+$F$4+$F$5+$F$6)</f>
        <v>0</v>
      </c>
      <c r="R4">
        <f>O4/($O$3+$O$4+$O$5+$O$6)</f>
        <v>0</v>
      </c>
      <c r="S4">
        <f>G4/($G$3+$G$4+$G$5+$G$6)</f>
        <v>0</v>
      </c>
    </row>
    <row r="5" spans="1:19" x14ac:dyDescent="0.45">
      <c r="A5" t="s">
        <v>8</v>
      </c>
      <c r="B5" t="s">
        <v>11</v>
      </c>
      <c r="C5" s="2">
        <v>2.75</v>
      </c>
      <c r="D5" s="2">
        <v>3.8919000000000001</v>
      </c>
      <c r="E5" s="2">
        <v>6.1521999999999997</v>
      </c>
      <c r="F5" s="3">
        <v>2.7494999999999998</v>
      </c>
      <c r="G5" s="3">
        <v>3.8919000000000001</v>
      </c>
      <c r="H5" s="4">
        <v>2.5793699999999999</v>
      </c>
      <c r="I5" s="4">
        <v>2.3809499999999999</v>
      </c>
      <c r="J5" s="5">
        <f t="shared" si="1"/>
        <v>7.091977814999999</v>
      </c>
      <c r="K5" s="5">
        <f t="shared" si="1"/>
        <v>9.2664193049999994</v>
      </c>
      <c r="L5" s="6">
        <v>1.36111</v>
      </c>
      <c r="M5" s="6">
        <v>1.3333299999999999</v>
      </c>
      <c r="N5" s="7">
        <f t="shared" si="0"/>
        <v>9.6529619237746491</v>
      </c>
      <c r="O5" s="7">
        <f t="shared" si="0"/>
        <v>12.355194851935648</v>
      </c>
      <c r="P5">
        <f>N5/($N$3+$N$4+$N$5+$N$6)</f>
        <v>0.68699923150002928</v>
      </c>
      <c r="Q5">
        <f>F5/($F$3+$F$4+$F$5+$F$6)</f>
        <v>0.52101493216099448</v>
      </c>
      <c r="R5">
        <f>O5/($O$3+$O$4+$O$5+$O$6)</f>
        <v>0.69488285433435226</v>
      </c>
      <c r="S5">
        <f>G5/($G$3+$G$4+$G$5+$G$6)</f>
        <v>0.54643865043595474</v>
      </c>
    </row>
    <row r="6" spans="1:19" x14ac:dyDescent="0.45">
      <c r="A6" t="s">
        <v>8</v>
      </c>
      <c r="B6" t="s">
        <v>12</v>
      </c>
      <c r="C6" s="2">
        <v>8.93</v>
      </c>
      <c r="D6" s="2">
        <v>10.0512</v>
      </c>
      <c r="E6" s="2">
        <v>11.9488</v>
      </c>
      <c r="F6" s="3">
        <v>0.34150000000000003</v>
      </c>
      <c r="G6" s="3">
        <v>0.59750000000000003</v>
      </c>
      <c r="H6" s="4">
        <v>1.09293</v>
      </c>
      <c r="I6" s="4">
        <v>1.0869599999999999</v>
      </c>
      <c r="J6" s="5">
        <f t="shared" si="1"/>
        <v>0.37323559500000003</v>
      </c>
      <c r="K6" s="5">
        <f t="shared" si="1"/>
        <v>0.6494586</v>
      </c>
      <c r="L6" s="6">
        <v>1.36111</v>
      </c>
      <c r="M6" s="6">
        <v>1.3333299999999999</v>
      </c>
      <c r="N6" s="7">
        <f t="shared" si="0"/>
        <v>0.50801470071045007</v>
      </c>
      <c r="O6" s="7">
        <f t="shared" si="0"/>
        <v>0.86594263513799996</v>
      </c>
      <c r="P6">
        <f>N6/($N$3+$N$4+$N$5+$N$6)</f>
        <v>3.6155297382787457E-2</v>
      </c>
      <c r="Q6">
        <f>F6/($F$3+$F$4+$F$5+$F$6)</f>
        <v>6.4712347456984773E-2</v>
      </c>
      <c r="R6">
        <f>O6/($O$3+$O$4+$O$5+$O$6)</f>
        <v>4.8702484841850399E-2</v>
      </c>
      <c r="S6">
        <f>G6/($G$3+$G$4+$G$5+$G$6)</f>
        <v>8.3891439563062498E-2</v>
      </c>
    </row>
    <row r="7" spans="1:19" x14ac:dyDescent="0.45">
      <c r="C7">
        <f>SUM(C3:C6)</f>
        <v>26.950000000000003</v>
      </c>
      <c r="D7">
        <f>SUM(D3:D6)</f>
        <v>32.749899999999997</v>
      </c>
      <c r="E7">
        <f>SUM(E3:E6)</f>
        <v>43.373829999999998</v>
      </c>
      <c r="F7">
        <f>SUM(F3:F6)</f>
        <v>5.2771999999999997</v>
      </c>
      <c r="G7">
        <f>SUM(G3:G6)</f>
        <v>7.1223000000000001</v>
      </c>
      <c r="J7" s="5">
        <f>SUM(J3:J6)</f>
        <v>10.32312336</v>
      </c>
      <c r="K7" s="5">
        <f>SUM(K3:K6)</f>
        <v>13.335225134999998</v>
      </c>
      <c r="N7" s="7">
        <f>SUM(N3:N6)</f>
        <v>14.050906436529599</v>
      </c>
      <c r="O7" s="7">
        <f>SUM(O3:O6)</f>
        <v>17.78025572924955</v>
      </c>
      <c r="P7">
        <f>SUM(P3:P6)</f>
        <v>1</v>
      </c>
      <c r="Q7">
        <f t="shared" ref="Q7" si="2">SUM(Q3:Q6)</f>
        <v>1</v>
      </c>
      <c r="R7">
        <f>SUM(R3:R6)</f>
        <v>0.99999999999999978</v>
      </c>
      <c r="S7">
        <f t="shared" ref="S7" si="3">SUM(S3:S6)</f>
        <v>1</v>
      </c>
    </row>
    <row r="9" spans="1:19" x14ac:dyDescent="0.45">
      <c r="C9" s="14" t="s">
        <v>30</v>
      </c>
      <c r="D9" s="14"/>
      <c r="E9" s="14"/>
      <c r="F9" s="14" t="s">
        <v>31</v>
      </c>
      <c r="G9" s="14"/>
      <c r="H9" t="s">
        <v>2</v>
      </c>
      <c r="I9" t="s">
        <v>3</v>
      </c>
      <c r="J9" t="s">
        <v>4</v>
      </c>
      <c r="K9" t="s">
        <v>5</v>
      </c>
      <c r="L9" t="s">
        <v>6</v>
      </c>
      <c r="M9" t="s">
        <v>7</v>
      </c>
    </row>
    <row r="10" spans="1:19" x14ac:dyDescent="0.45">
      <c r="C10" s="10">
        <v>2015</v>
      </c>
      <c r="D10" s="10">
        <v>2020</v>
      </c>
      <c r="E10" s="10" t="s">
        <v>32</v>
      </c>
      <c r="F10" s="3"/>
      <c r="G10" s="3">
        <v>2025</v>
      </c>
      <c r="H10" s="4">
        <v>2025</v>
      </c>
      <c r="I10" s="5">
        <v>2025</v>
      </c>
      <c r="J10" s="11">
        <v>2025</v>
      </c>
      <c r="K10" s="12">
        <v>2025</v>
      </c>
      <c r="L10">
        <v>2025</v>
      </c>
      <c r="M10">
        <v>2025</v>
      </c>
    </row>
    <row r="11" spans="1:19" x14ac:dyDescent="0.45">
      <c r="C11" s="10">
        <f t="shared" ref="C11:D14" si="4">C3-F3</f>
        <v>0.37380000000000013</v>
      </c>
      <c r="D11" s="10">
        <f t="shared" si="4"/>
        <v>0.22650000000000015</v>
      </c>
      <c r="E11" s="10">
        <v>0.30014999999999997</v>
      </c>
      <c r="F11" s="3"/>
      <c r="G11" s="3">
        <f>E3-E11</f>
        <v>3.6396800000000002</v>
      </c>
      <c r="H11" s="4">
        <v>1.2903762903762901</v>
      </c>
      <c r="I11" s="5">
        <f>H11*G11</f>
        <v>4.6965567765567755</v>
      </c>
      <c r="J11" s="11">
        <v>1.307692348957062</v>
      </c>
      <c r="K11" s="12">
        <f>J11*I11</f>
        <v>6.141651363145737</v>
      </c>
      <c r="L11">
        <f>K11/(K11+K12+K13+K14)</f>
        <v>0.24269958520683538</v>
      </c>
      <c r="M11">
        <f>G11/(G11+G12+G13+G14)</f>
        <v>0.34191033834250972</v>
      </c>
    </row>
    <row r="12" spans="1:19" x14ac:dyDescent="0.45">
      <c r="C12" s="10">
        <f t="shared" si="4"/>
        <v>12.71</v>
      </c>
      <c r="D12" s="10">
        <f t="shared" si="4"/>
        <v>15.9474</v>
      </c>
      <c r="E12" s="10" t="s">
        <v>33</v>
      </c>
      <c r="F12" s="3"/>
      <c r="G12" s="3">
        <v>0</v>
      </c>
      <c r="H12" s="4">
        <v>1.1173533083645439</v>
      </c>
      <c r="I12" s="5">
        <f t="shared" ref="I12:I14" si="5">H12*G12</f>
        <v>0</v>
      </c>
      <c r="J12" s="11">
        <v>1.307692348957062</v>
      </c>
      <c r="K12" s="12">
        <f t="shared" ref="K12:K14" si="6">J12*I12</f>
        <v>0</v>
      </c>
      <c r="L12">
        <f>K12/(K11+K12+K13+K14)</f>
        <v>0</v>
      </c>
      <c r="M12">
        <f>G12/G15</f>
        <v>0</v>
      </c>
    </row>
    <row r="13" spans="1:19" x14ac:dyDescent="0.45">
      <c r="C13" s="10">
        <f t="shared" si="4"/>
        <v>5.0000000000016698E-4</v>
      </c>
      <c r="D13" s="10">
        <f t="shared" si="4"/>
        <v>0</v>
      </c>
      <c r="E13" s="10">
        <v>2.5000000000000001E-4</v>
      </c>
      <c r="F13" s="3"/>
      <c r="G13" s="3">
        <f>E5-E13</f>
        <v>6.1519499999999994</v>
      </c>
      <c r="H13" s="4">
        <v>2.2321428571428572</v>
      </c>
      <c r="I13" s="5">
        <f t="shared" si="5"/>
        <v>13.732031249999999</v>
      </c>
      <c r="J13" s="11">
        <v>1.307692348957062</v>
      </c>
      <c r="K13" s="12">
        <f t="shared" si="6"/>
        <v>17.957272201264278</v>
      </c>
      <c r="L13">
        <f>K13/(K11+K12+K13+K14)</f>
        <v>0.70961737438329719</v>
      </c>
      <c r="M13">
        <f>G13/G15</f>
        <v>0.57791215325693523</v>
      </c>
    </row>
    <row r="14" spans="1:19" x14ac:dyDescent="0.45">
      <c r="C14" s="10">
        <f t="shared" si="4"/>
        <v>8.5884999999999998</v>
      </c>
      <c r="D14" s="10">
        <f t="shared" si="4"/>
        <v>9.4536999999999995</v>
      </c>
      <c r="E14" s="10">
        <f>E6-G14</f>
        <v>11.0953</v>
      </c>
      <c r="F14" s="3"/>
      <c r="G14" s="3">
        <f>G6-F6+G6</f>
        <v>0.85350000000000004</v>
      </c>
      <c r="H14" s="4">
        <v>1.0811126694717159</v>
      </c>
      <c r="I14" s="5">
        <f t="shared" si="5"/>
        <v>0.92272966339410956</v>
      </c>
      <c r="J14" s="11">
        <v>1.307692348957062</v>
      </c>
      <c r="K14" s="12">
        <f t="shared" si="6"/>
        <v>1.2066465209762023</v>
      </c>
      <c r="L14">
        <f>K14/(K11+K12+K13+K14)</f>
        <v>4.7683040409867386E-2</v>
      </c>
      <c r="M14">
        <f>G14/G15</f>
        <v>8.0177508400555E-2</v>
      </c>
    </row>
    <row r="15" spans="1:19" x14ac:dyDescent="0.45">
      <c r="G15">
        <f>SUM(G11:G14)</f>
        <v>10.64513</v>
      </c>
      <c r="I15" s="5">
        <f>SUM(I11:I14)</f>
        <v>19.351317689950882</v>
      </c>
      <c r="K15" s="12">
        <f>SUM(K11:K14)</f>
        <v>25.305570085386218</v>
      </c>
      <c r="L15">
        <f>SUM(L11:L14)</f>
        <v>1</v>
      </c>
      <c r="M15">
        <f>SUM(M11:M14)</f>
        <v>1</v>
      </c>
    </row>
    <row r="17" spans="1:15" x14ac:dyDescent="0.45">
      <c r="F17" s="14" t="s">
        <v>13</v>
      </c>
      <c r="G17" s="14"/>
      <c r="H17" s="14" t="s">
        <v>14</v>
      </c>
      <c r="I17" s="14"/>
      <c r="J17" s="15" t="s">
        <v>15</v>
      </c>
      <c r="K17" s="15"/>
      <c r="L17" t="s">
        <v>16</v>
      </c>
    </row>
    <row r="18" spans="1:15" x14ac:dyDescent="0.45">
      <c r="C18">
        <v>2025</v>
      </c>
      <c r="F18">
        <v>2025</v>
      </c>
      <c r="H18">
        <v>2025</v>
      </c>
      <c r="J18" s="8">
        <v>2025</v>
      </c>
      <c r="K18" s="8"/>
      <c r="L18">
        <v>2025</v>
      </c>
    </row>
    <row r="19" spans="1:15" x14ac:dyDescent="0.45">
      <c r="A19" t="s">
        <v>17</v>
      </c>
      <c r="C19">
        <v>25.305570085386218</v>
      </c>
      <c r="E19" t="s">
        <v>9</v>
      </c>
      <c r="F19">
        <f>C20*L11</f>
        <v>4.6391946482821576</v>
      </c>
      <c r="H19">
        <f>C23*L11</f>
        <v>3.547619324975102</v>
      </c>
      <c r="J19" s="8">
        <f>H19/H11</f>
        <v>2.7492905375226409</v>
      </c>
      <c r="K19" s="8"/>
      <c r="L19">
        <f>J19/J23</f>
        <v>0.34191033834250972</v>
      </c>
    </row>
    <row r="20" spans="1:15" x14ac:dyDescent="0.45">
      <c r="A20" t="s">
        <v>18</v>
      </c>
      <c r="C20">
        <v>19.114967354923603</v>
      </c>
      <c r="E20" t="s">
        <v>10</v>
      </c>
      <c r="F20">
        <f>C20*L12</f>
        <v>0</v>
      </c>
      <c r="H20">
        <f>C23*L12</f>
        <v>0</v>
      </c>
      <c r="J20" s="8">
        <f>H20/H12</f>
        <v>0</v>
      </c>
      <c r="K20" s="8"/>
      <c r="L20">
        <f>J20/J23</f>
        <v>0</v>
      </c>
    </row>
    <row r="21" spans="1:15" x14ac:dyDescent="0.45">
      <c r="C21">
        <v>2025</v>
      </c>
      <c r="E21" t="s">
        <v>11</v>
      </c>
      <c r="F21">
        <f>C20*L13</f>
        <v>13.564312945823326</v>
      </c>
      <c r="H21">
        <f>C23*L13</f>
        <v>10.372709572432246</v>
      </c>
      <c r="J21" s="8">
        <f>H21/H13</f>
        <v>4.6469738884496463</v>
      </c>
      <c r="K21" s="8"/>
      <c r="L21">
        <f>J21/J23</f>
        <v>0.57791215325693535</v>
      </c>
    </row>
    <row r="22" spans="1:15" x14ac:dyDescent="0.45">
      <c r="A22" t="s">
        <v>19</v>
      </c>
      <c r="C22">
        <f>I15</f>
        <v>19.351317689950882</v>
      </c>
      <c r="E22" t="s">
        <v>12</v>
      </c>
      <c r="F22">
        <f>C20*L14</f>
        <v>0.91145976081811808</v>
      </c>
      <c r="H22">
        <f>C23*L14</f>
        <v>0.69699861863154922</v>
      </c>
      <c r="J22" s="8">
        <f>H22/H14</f>
        <v>0.64470488443367935</v>
      </c>
      <c r="K22" s="8"/>
      <c r="L22">
        <f>J22/J23</f>
        <v>8.0177508400555E-2</v>
      </c>
    </row>
    <row r="23" spans="1:15" x14ac:dyDescent="0.45">
      <c r="A23" t="s">
        <v>20</v>
      </c>
      <c r="C23">
        <f>C20/J11</f>
        <v>14.617327516038898</v>
      </c>
      <c r="E23" t="s">
        <v>21</v>
      </c>
      <c r="F23">
        <f>SUM(F19:F22)</f>
        <v>19.114967354923603</v>
      </c>
      <c r="H23">
        <f t="shared" ref="H23:J23" si="7">SUM(H19:H22)</f>
        <v>14.617327516038896</v>
      </c>
      <c r="J23" s="8">
        <f t="shared" si="7"/>
        <v>8.0409693104059663</v>
      </c>
      <c r="K23" s="8"/>
      <c r="L23">
        <f>SUM(L19:L22)</f>
        <v>1</v>
      </c>
    </row>
    <row r="26" spans="1:15" ht="15.75" x14ac:dyDescent="0.5">
      <c r="E26" s="13" t="s">
        <v>22</v>
      </c>
      <c r="F26" s="13"/>
      <c r="H26" s="13" t="s">
        <v>23</v>
      </c>
      <c r="I26" s="13"/>
      <c r="K26" s="13" t="s">
        <v>24</v>
      </c>
      <c r="L26" s="13"/>
      <c r="N26" s="13" t="s">
        <v>25</v>
      </c>
      <c r="O26" s="13"/>
    </row>
    <row r="27" spans="1:15" x14ac:dyDescent="0.45">
      <c r="E27" s="1">
        <v>2025</v>
      </c>
      <c r="F27" s="1"/>
      <c r="H27" s="1">
        <v>2025</v>
      </c>
      <c r="I27" s="1"/>
      <c r="K27" s="1">
        <v>2025</v>
      </c>
      <c r="L27" s="1"/>
      <c r="N27" s="1">
        <v>2015</v>
      </c>
      <c r="O27" s="1"/>
    </row>
    <row r="28" spans="1:15" x14ac:dyDescent="0.45">
      <c r="D28" t="s">
        <v>9</v>
      </c>
      <c r="E28">
        <f>E11+J19</f>
        <v>3.0494405375226408</v>
      </c>
      <c r="F28" s="1"/>
      <c r="G28" t="s">
        <v>26</v>
      </c>
      <c r="H28">
        <f>ROUNDDOWN(J19,2)</f>
        <v>2.74</v>
      </c>
      <c r="I28" s="1"/>
      <c r="K28" s="9">
        <f>ROUNDDOWN(H23,2)</f>
        <v>14.61</v>
      </c>
      <c r="L28" s="1"/>
      <c r="N28" s="9">
        <f>ROUNDUP(F23,2)</f>
        <v>19.12</v>
      </c>
      <c r="O28" s="1"/>
    </row>
    <row r="29" spans="1:15" x14ac:dyDescent="0.45">
      <c r="D29" t="s">
        <v>10</v>
      </c>
      <c r="E29">
        <f>E4</f>
        <v>21.332999999999998</v>
      </c>
      <c r="F29" s="1"/>
      <c r="G29" t="s">
        <v>27</v>
      </c>
      <c r="H29">
        <f t="shared" ref="H29:H31" si="8">ROUNDDOWN(J20,2)</f>
        <v>0</v>
      </c>
      <c r="I29" s="1"/>
    </row>
    <row r="30" spans="1:15" x14ac:dyDescent="0.45">
      <c r="D30" t="s">
        <v>11</v>
      </c>
      <c r="E30">
        <f>E13+J21</f>
        <v>4.6472238884496466</v>
      </c>
      <c r="F30" s="1"/>
      <c r="G30" t="s">
        <v>28</v>
      </c>
      <c r="H30">
        <f t="shared" si="8"/>
        <v>4.6399999999999997</v>
      </c>
      <c r="I30" s="1"/>
    </row>
    <row r="31" spans="1:15" x14ac:dyDescent="0.45">
      <c r="D31" t="s">
        <v>12</v>
      </c>
      <c r="E31">
        <f>E14+J22</f>
        <v>11.740004884433679</v>
      </c>
      <c r="F31" s="1"/>
      <c r="G31" t="s">
        <v>29</v>
      </c>
      <c r="H31">
        <f t="shared" si="8"/>
        <v>0.64</v>
      </c>
      <c r="I31" s="1"/>
    </row>
    <row r="32" spans="1:15" x14ac:dyDescent="0.45">
      <c r="E32">
        <f>SUM(E28:E31)</f>
        <v>40.769669310405966</v>
      </c>
      <c r="F32" s="1"/>
      <c r="H32" s="9">
        <f>SUM(H28:H31)</f>
        <v>8.02</v>
      </c>
      <c r="I32" s="1"/>
    </row>
    <row r="33" spans="4:6" x14ac:dyDescent="0.45">
      <c r="E33" s="9">
        <f>ROUNDDOWN(E32,2)</f>
        <v>40.76</v>
      </c>
      <c r="F33" s="1"/>
    </row>
    <row r="34" spans="4:6" x14ac:dyDescent="0.45">
      <c r="F34" s="1"/>
    </row>
    <row r="35" spans="4:6" x14ac:dyDescent="0.45">
      <c r="D35" t="s">
        <v>9</v>
      </c>
      <c r="E35">
        <f>ROUNDUP(E28,2)</f>
        <v>3.05</v>
      </c>
      <c r="F35" s="1"/>
    </row>
    <row r="36" spans="4:6" x14ac:dyDescent="0.45">
      <c r="D36" t="s">
        <v>10</v>
      </c>
      <c r="E36">
        <f t="shared" ref="E36:E38" si="9">ROUNDUP(E29,2)</f>
        <v>21.34</v>
      </c>
      <c r="F36" s="1"/>
    </row>
    <row r="37" spans="4:6" x14ac:dyDescent="0.45">
      <c r="D37" t="s">
        <v>11</v>
      </c>
      <c r="E37">
        <f t="shared" si="9"/>
        <v>4.6499999999999995</v>
      </c>
      <c r="F37" s="1"/>
    </row>
    <row r="38" spans="4:6" x14ac:dyDescent="0.45">
      <c r="D38" t="s">
        <v>12</v>
      </c>
      <c r="E38">
        <f t="shared" si="9"/>
        <v>11.75</v>
      </c>
      <c r="F38" s="1"/>
    </row>
  </sheetData>
  <mergeCells count="15">
    <mergeCell ref="N1:O1"/>
    <mergeCell ref="C1:E1"/>
    <mergeCell ref="F1:G1"/>
    <mergeCell ref="H1:I1"/>
    <mergeCell ref="J1:K1"/>
    <mergeCell ref="L1:M1"/>
    <mergeCell ref="E26:F26"/>
    <mergeCell ref="H26:I26"/>
    <mergeCell ref="K26:L26"/>
    <mergeCell ref="N26:O26"/>
    <mergeCell ref="C9:E9"/>
    <mergeCell ref="F9:G9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2025-09-16T15:37:04Z</dcterms:created>
  <dcterms:modified xsi:type="dcterms:W3CDTF">2025-09-23T10:56:45Z</dcterms:modified>
</cp:coreProperties>
</file>