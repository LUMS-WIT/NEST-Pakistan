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070930D7-479D-4022-BBB5-22855AF7C2B2}" xr6:coauthVersionLast="47" xr6:coauthVersionMax="47" xr10:uidLastSave="{00000000-0000-0000-0000-000000000000}"/>
  <bookViews>
    <workbookView xWindow="-98" yWindow="-98" windowWidth="21795" windowHeight="13695" xr2:uid="{6A8682A6-F9B9-44C8-8200-04D2A992B5B2}"/>
  </bookViews>
  <sheets>
    <sheet name="Plant-wise Generation" sheetId="1" r:id="rId1"/>
    <sheet name="Sheet5" sheetId="5" r:id="rId2"/>
    <sheet name="Plant-wise Capacity" sheetId="2" r:id="rId3"/>
  </sheets>
  <definedNames>
    <definedName name="_xlnm._FilterDatabase" localSheetId="2" hidden="1">'Plant-wise Capacity'!$A$1:$H$173</definedName>
    <definedName name="_xlnm._FilterDatabase" localSheetId="0" hidden="1">'Plant-wise Generation'!$A$1:$H$178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7" i="1" l="1"/>
  <c r="Q104" i="1"/>
  <c r="Q135" i="1"/>
  <c r="O136" i="1"/>
  <c r="O132" i="1"/>
  <c r="O131" i="1"/>
  <c r="O130" i="1"/>
  <c r="O105" i="1"/>
  <c r="O106" i="1" s="1"/>
  <c r="Q98" i="1"/>
  <c r="O98" i="1"/>
  <c r="Q90" i="1"/>
  <c r="O91" i="1"/>
  <c r="H8" i="5"/>
  <c r="O178" i="1"/>
  <c r="Q175" i="1"/>
  <c r="R175" i="1" s="1"/>
  <c r="S175" i="1" s="1"/>
  <c r="Q176" i="1"/>
  <c r="R176" i="1" s="1"/>
  <c r="S176" i="1" s="1"/>
  <c r="Q174" i="1"/>
  <c r="R174" i="1" s="1"/>
  <c r="S174" i="1" s="1"/>
  <c r="O177" i="1"/>
  <c r="R53" i="1"/>
  <c r="O54" i="1"/>
  <c r="Q44" i="1"/>
  <c r="R44" i="1" s="1"/>
  <c r="S44" i="1" s="1"/>
  <c r="Q43" i="1"/>
  <c r="R43" i="1" s="1"/>
  <c r="S43" i="1" s="1"/>
  <c r="Q42" i="1"/>
  <c r="R42" i="1" s="1"/>
  <c r="S42" i="1" s="1"/>
  <c r="O45" i="1"/>
  <c r="O46" i="1" s="1"/>
  <c r="Q5" i="1"/>
  <c r="R5" i="1" s="1"/>
  <c r="S5" i="1" s="1"/>
  <c r="Q4" i="1"/>
  <c r="R4" i="1" s="1"/>
  <c r="S4" i="1" s="1"/>
  <c r="S6" i="1" s="1"/>
  <c r="P5" i="1"/>
  <c r="P4" i="1"/>
  <c r="N6" i="1"/>
  <c r="N7" i="1" s="1"/>
  <c r="S45" i="1" l="1"/>
</calcChain>
</file>

<file path=xl/sharedStrings.xml><?xml version="1.0" encoding="utf-8"?>
<sst xmlns="http://schemas.openxmlformats.org/spreadsheetml/2006/main" count="1233" uniqueCount="407">
  <si>
    <t>Power Station</t>
  </si>
  <si>
    <t>Primary
Fuel</t>
  </si>
  <si>
    <t>Alternate
Fuel</t>
  </si>
  <si>
    <t>2019-20</t>
  </si>
  <si>
    <t>A1: Hydel (WAPDA)</t>
  </si>
  <si>
    <t>Major Hydropower Units</t>
  </si>
  <si>
    <t>Tarbela</t>
  </si>
  <si>
    <t>Hydel</t>
  </si>
  <si>
    <t>Tarbela 4th Ext.</t>
  </si>
  <si>
    <t>Ghazi Barotha</t>
  </si>
  <si>
    <t>Mangla</t>
  </si>
  <si>
    <t>Warsak</t>
  </si>
  <si>
    <t>Chashma</t>
  </si>
  <si>
    <t>Khan Khwar</t>
  </si>
  <si>
    <t>Allai Khwar</t>
  </si>
  <si>
    <t>Jinnah</t>
  </si>
  <si>
    <t>Duber Khwar</t>
  </si>
  <si>
    <t>Neelum Jhelum</t>
  </si>
  <si>
    <t>Golen Gol</t>
  </si>
  <si>
    <t>Small Hydropower Units</t>
  </si>
  <si>
    <t>Dargai</t>
  </si>
  <si>
    <t>Rasul</t>
  </si>
  <si>
    <t>Shadiwal</t>
  </si>
  <si>
    <t>Chichoki Mallian</t>
  </si>
  <si>
    <t>Nandipur</t>
  </si>
  <si>
    <t>Kurram Garhi</t>
  </si>
  <si>
    <t>Renala</t>
  </si>
  <si>
    <t>Chitral</t>
  </si>
  <si>
    <t>Gomal Zam</t>
  </si>
  <si>
    <t>Malakand/Jabban</t>
  </si>
  <si>
    <t>Total Hydel (WAPDA)</t>
  </si>
  <si>
    <t>A2: Hydel (IPPs)</t>
  </si>
  <si>
    <t>Malakand-III (PEDO)</t>
  </si>
  <si>
    <t>Pehur (PEDO)</t>
  </si>
  <si>
    <t>Laraib Energy (AJ&amp;K)</t>
  </si>
  <si>
    <t>Garam Chashma</t>
  </si>
  <si>
    <t>Marala Hydro (PPDCL)</t>
  </si>
  <si>
    <t>Patrind Hydro (AJ&amp;K)</t>
  </si>
  <si>
    <t>Gulpur Hydropower Project</t>
  </si>
  <si>
    <t>Total Hydel (IPPs)</t>
  </si>
  <si>
    <t>Total Hydel (A1+A2)</t>
  </si>
  <si>
    <t>B1: Thermal (GENCOs: CPPA-G System)</t>
  </si>
  <si>
    <t>TPS Jamshoro</t>
  </si>
  <si>
    <t>RFO/Gas</t>
  </si>
  <si>
    <t>RFO</t>
  </si>
  <si>
    <t>GTPS Kotri</t>
  </si>
  <si>
    <t>Gas</t>
  </si>
  <si>
    <t>HSD</t>
  </si>
  <si>
    <t>TPS Guddu (Units 1-4)</t>
  </si>
  <si>
    <t xml:space="preserve">Gas </t>
  </si>
  <si>
    <t>TPS Guddu (Units 5-10)</t>
  </si>
  <si>
    <t>TPS Guddu (Units 11-13)</t>
  </si>
  <si>
    <t>TPS Guddu (Units 14-16)</t>
  </si>
  <si>
    <t>TPS Quetta</t>
  </si>
  <si>
    <t>TPS Muzaffargarh</t>
  </si>
  <si>
    <t>SPS Faisalabad</t>
  </si>
  <si>
    <t>GTPS Faisalabad</t>
  </si>
  <si>
    <t>TPS Nandipur</t>
  </si>
  <si>
    <t>FBC Lakhra</t>
  </si>
  <si>
    <t>Coal</t>
  </si>
  <si>
    <t>Total Thermal (GENCOs: CPPA-G System)</t>
  </si>
  <si>
    <t>B2: Thermal (IPPs: CPPA-G System)</t>
  </si>
  <si>
    <t>Lal Pir Power</t>
  </si>
  <si>
    <t>--</t>
  </si>
  <si>
    <t>Pak Gen. Power</t>
  </si>
  <si>
    <t>-</t>
  </si>
  <si>
    <t>Altern Energy</t>
  </si>
  <si>
    <t>Fauji Kabirwala</t>
  </si>
  <si>
    <t>Habibullah Coastal</t>
  </si>
  <si>
    <t>Hub Power</t>
  </si>
  <si>
    <t>KAPCO</t>
  </si>
  <si>
    <t>RFO/HSD</t>
  </si>
  <si>
    <t>Kohinoor Energy</t>
  </si>
  <si>
    <t>Rousch Power</t>
  </si>
  <si>
    <t>Saba Power</t>
  </si>
  <si>
    <t>TNB Liberty Power</t>
  </si>
  <si>
    <t>Uch Power</t>
  </si>
  <si>
    <t>Attock Gen.</t>
  </si>
  <si>
    <t>Atlas Power</t>
  </si>
  <si>
    <t>Engro Powergen Qadirpur</t>
  </si>
  <si>
    <t>Saif Power</t>
  </si>
  <si>
    <t>Orient Power</t>
  </si>
  <si>
    <t>Nishat Power</t>
  </si>
  <si>
    <t>Nishat Chunian</t>
  </si>
  <si>
    <t>Sapphire Electric</t>
  </si>
  <si>
    <t>Halmore Power</t>
  </si>
  <si>
    <t>Narowal Energy</t>
  </si>
  <si>
    <t>Liberty Power Tech.</t>
  </si>
  <si>
    <t>Foundation Power</t>
  </si>
  <si>
    <t>Davis Energen</t>
  </si>
  <si>
    <t>Uch-II Power</t>
  </si>
  <si>
    <t>Low BTU Gas</t>
  </si>
  <si>
    <t>Huaneng Shandong Ruyi</t>
  </si>
  <si>
    <t>Bituminous Coal</t>
  </si>
  <si>
    <t>QATPL (Bhikki)</t>
  </si>
  <si>
    <t>RLNG</t>
  </si>
  <si>
    <t>NPPMCL (Haveli Bahadur Shah)</t>
  </si>
  <si>
    <t>NPPMCL (Balloki)</t>
  </si>
  <si>
    <t>Port Qasim Electric Power</t>
  </si>
  <si>
    <t>Reshma Power</t>
  </si>
  <si>
    <t>RFO/HSFO</t>
  </si>
  <si>
    <t>Gulf Powergen</t>
  </si>
  <si>
    <t>China Power Hub</t>
  </si>
  <si>
    <t>Imported Coal</t>
  </si>
  <si>
    <t>Engro Powergen Thar</t>
  </si>
  <si>
    <t>Thar Coal</t>
  </si>
  <si>
    <t>Total Thermal (IPPs)</t>
  </si>
  <si>
    <t>C: Nuclear</t>
  </si>
  <si>
    <t>CHASNUPP-I</t>
  </si>
  <si>
    <t>NUC</t>
  </si>
  <si>
    <t>CHASNUPP-II</t>
  </si>
  <si>
    <t>CHASNUPP-III</t>
  </si>
  <si>
    <t>CHASNUPP-IV</t>
  </si>
  <si>
    <t>KANUPP</t>
  </si>
  <si>
    <t>Total Nuclear</t>
  </si>
  <si>
    <t>D: Import Import from Iran (Tavanir) 463.00</t>
  </si>
  <si>
    <t>Import from Iran (Tavanir)</t>
  </si>
  <si>
    <t>Total Import (D)</t>
  </si>
  <si>
    <t>E: Renewable Energy (CPPA-G System)</t>
  </si>
  <si>
    <t>E1: Wind Power Projects</t>
  </si>
  <si>
    <t>Zorlu Enerji Pakistan</t>
  </si>
  <si>
    <t>Wind</t>
  </si>
  <si>
    <t>FFC Energy</t>
  </si>
  <si>
    <t>Three Gorges First Wind Farm</t>
  </si>
  <si>
    <t>Foundation Wind Energy-I</t>
  </si>
  <si>
    <t>Foundation Wind Energy-II</t>
  </si>
  <si>
    <t>Sapphire Wind</t>
  </si>
  <si>
    <t>Yunus Energy</t>
  </si>
  <si>
    <t>–</t>
  </si>
  <si>
    <t>Metro Power Company</t>
  </si>
  <si>
    <t>Gul Ahmad Wind</t>
  </si>
  <si>
    <t>Master Wind Energy</t>
  </si>
  <si>
    <t>Tenaga Generasi</t>
  </si>
  <si>
    <t>HydroChina Dawood</t>
  </si>
  <si>
    <t>Sachal Energy</t>
  </si>
  <si>
    <t>UEP Wind Power</t>
  </si>
  <si>
    <t>Artistic Wind Power</t>
  </si>
  <si>
    <t>Act Wind</t>
  </si>
  <si>
    <t>Hawa Energy</t>
  </si>
  <si>
    <t>Jhimpir Power</t>
  </si>
  <si>
    <t>Three Gorges Second Wind Farm</t>
  </si>
  <si>
    <t>Three Gorges Third Wind Farm</t>
  </si>
  <si>
    <t>Tricon Boston Consulting-A</t>
  </si>
  <si>
    <t>Tricon Boston Consulting-B</t>
  </si>
  <si>
    <t>Tricon Boston Consulting-C</t>
  </si>
  <si>
    <t>Zephyr Power</t>
  </si>
  <si>
    <t>Total Wind Power Projects</t>
  </si>
  <si>
    <t>E2: Solar Power Projects</t>
  </si>
  <si>
    <t>Quaid-e-Azam Solar Park</t>
  </si>
  <si>
    <t>Solar</t>
  </si>
  <si>
    <t>Appolo Solar Development</t>
  </si>
  <si>
    <t>Best Green Energy</t>
  </si>
  <si>
    <t>Crest Energy</t>
  </si>
  <si>
    <t>AJ Power</t>
  </si>
  <si>
    <t>Harappa Solar</t>
  </si>
  <si>
    <t>Total Solar Projects</t>
  </si>
  <si>
    <t>E3: Bagasse/Biomass Power Projects</t>
  </si>
  <si>
    <t>Jamal Din Wali-II</t>
  </si>
  <si>
    <t>Bagasse/Biomass</t>
  </si>
  <si>
    <t>Jamal Din Wali-III</t>
  </si>
  <si>
    <t>RYK Mills</t>
  </si>
  <si>
    <t>Bagasse</t>
  </si>
  <si>
    <t>Chiniot Power</t>
  </si>
  <si>
    <t>Fatima Energy</t>
  </si>
  <si>
    <t>Hamza Sugar Mills</t>
  </si>
  <si>
    <t>The Thal Industries</t>
  </si>
  <si>
    <t>Bagasse/</t>
  </si>
  <si>
    <t>FO</t>
  </si>
  <si>
    <t>Almoiz Industries</t>
  </si>
  <si>
    <t>Chanar Energy</t>
  </si>
  <si>
    <t>Total Bagasse/Biomass</t>
  </si>
  <si>
    <t>Total Renewable Energy (E1+E2+E3) (CPPA-G System) (E)</t>
  </si>
  <si>
    <t>F1: Thermal (KE Own)</t>
  </si>
  <si>
    <t>Bin Qasim TPS-I</t>
  </si>
  <si>
    <t>Dual</t>
  </si>
  <si>
    <t>Bin Qasim TPS-II</t>
  </si>
  <si>
    <t>Korangi Town GTPS-II</t>
  </si>
  <si>
    <t>Site GTPS-II</t>
  </si>
  <si>
    <t>Korangi CCPP</t>
  </si>
  <si>
    <t>Total KE Thermal</t>
  </si>
  <si>
    <t>F2: Thermal (IPPs connected with KE System)</t>
  </si>
  <si>
    <t>Gul Ahmed</t>
  </si>
  <si>
    <t>Tapal Energy</t>
  </si>
  <si>
    <t>SNPCL-I</t>
  </si>
  <si>
    <t>SNPCL-II</t>
  </si>
  <si>
    <t>Total Thermal (IPPs connected with KE System)</t>
  </si>
  <si>
    <t>F3: Thermal (Others connected with KE System)</t>
  </si>
  <si>
    <t>Anoud Power</t>
  </si>
  <si>
    <t>RFO/Gas/</t>
  </si>
  <si>
    <t>DO</t>
  </si>
  <si>
    <t>International Steel Ltd</t>
  </si>
  <si>
    <t>International Ind. Ltd</t>
  </si>
  <si>
    <t>FFBL Power</t>
  </si>
  <si>
    <t>Imported/Coal</t>
  </si>
  <si>
    <t>Total Thermal (Others connected with KE System)</t>
  </si>
  <si>
    <t>Total Thermal KE (F1+F2+F3)</t>
  </si>
  <si>
    <t>F4: Renewable Energy (connected with KE System)</t>
  </si>
  <si>
    <t>Oursun Pakistan</t>
  </si>
  <si>
    <t>Gharo Solar</t>
  </si>
  <si>
    <t>Total RE (F4)</t>
  </si>
  <si>
    <t>Total KE (KE Own and others connected with KE System)</t>
  </si>
  <si>
    <t>G: SPPs/CPPs/N-CPPs: CPPA-G System</t>
  </si>
  <si>
    <t>Total SPPs/CPPs/N-CPPs: CPPA-G System (G)</t>
  </si>
  <si>
    <t>Grand Total (A+B+C+D+E+F+G)</t>
  </si>
  <si>
    <t>2015-16</t>
  </si>
  <si>
    <t>2016-17</t>
  </si>
  <si>
    <t>2017-18</t>
  </si>
  <si>
    <t>2018-19</t>
  </si>
  <si>
    <t>Plant Location</t>
  </si>
  <si>
    <t>Type of Power Station</t>
  </si>
  <si>
    <t>Tarbela, KPK</t>
  </si>
  <si>
    <t>Reservoir</t>
  </si>
  <si>
    <t>Ghazi Barotha, Punjab</t>
  </si>
  <si>
    <t>Run of River</t>
  </si>
  <si>
    <t>Mangla, AJ&amp;K</t>
  </si>
  <si>
    <t>Warsak, KPK</t>
  </si>
  <si>
    <t>Chashma, Punjab</t>
  </si>
  <si>
    <t>Shangla, KPK</t>
  </si>
  <si>
    <t>Battagram, KPK</t>
  </si>
  <si>
    <t>Jinnah Hydel</t>
  </si>
  <si>
    <t>Mianwali, Punjab</t>
  </si>
  <si>
    <t>Kohistan, KPK</t>
  </si>
  <si>
    <t>Muzaffarabad, AJ&amp;K</t>
  </si>
  <si>
    <t>Chitral, KPK</t>
  </si>
  <si>
    <t>Dargai, KPK</t>
  </si>
  <si>
    <t>Run of Canal</t>
  </si>
  <si>
    <t>Rasul, Punjab</t>
  </si>
  <si>
    <t>Shadiwal, Punjab</t>
  </si>
  <si>
    <t>Chichoki Mallian, Punjab</t>
  </si>
  <si>
    <t>Nandipur, Punjab</t>
  </si>
  <si>
    <t>Kurram Garhi, KPK</t>
  </si>
  <si>
    <t>Renala, Punjab</t>
  </si>
  <si>
    <t>South Waziristan, KPK</t>
  </si>
  <si>
    <t>Malakand, KPK</t>
  </si>
  <si>
    <t>Total WAPDA Hydel</t>
  </si>
  <si>
    <t>Jagran (AJ&amp;K)</t>
  </si>
  <si>
    <t>Jagran, AJ&amp;K</t>
  </si>
  <si>
    <t>Hydro</t>
  </si>
  <si>
    <t>Run of River/Canal</t>
  </si>
  <si>
    <t>Swabi, KPK</t>
  </si>
  <si>
    <t>Canal Fall/Run of River</t>
  </si>
  <si>
    <t>Laraib Energy</t>
  </si>
  <si>
    <t>Jhelum River, AJ&amp;K</t>
  </si>
  <si>
    <t>Sialkot, Punjab</t>
  </si>
  <si>
    <t>Gulpur Hydro</t>
  </si>
  <si>
    <t>Gulpur, Kotli, AJK</t>
  </si>
  <si>
    <t>Total IPPs Hydel</t>
  </si>
  <si>
    <t>Total Hydel (A1 + A2)</t>
  </si>
  <si>
    <t>Jamshoro, Sindh</t>
  </si>
  <si>
    <t>STs</t>
  </si>
  <si>
    <t>Kotri, Sindh</t>
  </si>
  <si>
    <t>GTs + CCPP</t>
  </si>
  <si>
    <t>TPS Guddu (Units 1–4)</t>
  </si>
  <si>
    <t>Guddu, Sindh</t>
  </si>
  <si>
    <t>TPS Guddu (Units 5–10)</t>
  </si>
  <si>
    <t>GTs + CCPPs</t>
  </si>
  <si>
    <t>TPS Guddu (Units 11–13)</t>
  </si>
  <si>
    <t>GTs + OCPPs</t>
  </si>
  <si>
    <t>TPS Guddu (Units 14–16)</t>
  </si>
  <si>
    <t>GTs + ST + CCPPs</t>
  </si>
  <si>
    <t>Quetta, Balochistan</t>
  </si>
  <si>
    <t>GT</t>
  </si>
  <si>
    <t>Muzaffargarh, Punjab</t>
  </si>
  <si>
    <t>Faisalabad, Punjab</t>
  </si>
  <si>
    <t>Gujranwala, Punjab</t>
  </si>
  <si>
    <t>Lakhra, Sindh</t>
  </si>
  <si>
    <t>Total Thermal (GENCOs)</t>
  </si>
  <si>
    <t>Mehmood Kot, Punjab</t>
  </si>
  <si>
    <t>ST</t>
  </si>
  <si>
    <t>Fateh Jang, Punjab</t>
  </si>
  <si>
    <t>GEs</t>
  </si>
  <si>
    <t>Kabirwala, Punjab</t>
  </si>
  <si>
    <t>GTs+CCPP</t>
  </si>
  <si>
    <t>Hub, Balochistan</t>
  </si>
  <si>
    <t>Japan Power</t>
  </si>
  <si>
    <t>Raiwind, Punjab</t>
  </si>
  <si>
    <t>DE</t>
  </si>
  <si>
    <t>Kot Addu, Punjab</t>
  </si>
  <si>
    <t>GTs+CCPPs</t>
  </si>
  <si>
    <t>DEs+ST</t>
  </si>
  <si>
    <t>Sidhnai, Punjab</t>
  </si>
  <si>
    <t>GTs+ST</t>
  </si>
  <si>
    <t>Farooqabad, Punjab</t>
  </si>
  <si>
    <t>Southern Electric</t>
  </si>
  <si>
    <t>DEs</t>
  </si>
  <si>
    <t>Daharki, Sindh</t>
  </si>
  <si>
    <t>Murad Jamali, Balochistan</t>
  </si>
  <si>
    <t>Attock Morgah, Punjab</t>
  </si>
  <si>
    <t>DGs+ST</t>
  </si>
  <si>
    <t>Sheikhupura, Punjab</t>
  </si>
  <si>
    <t>REs+ST</t>
  </si>
  <si>
    <t>Engro Power Gen. Qadirpur</t>
  </si>
  <si>
    <t>Qadirpur, Sindh</t>
  </si>
  <si>
    <t>GT+ST</t>
  </si>
  <si>
    <t>Sahiwal, Punjab</t>
  </si>
  <si>
    <t>Balloki, Punjab</t>
  </si>
  <si>
    <t>Qasur, Punjab</t>
  </si>
  <si>
    <t>Muridke, Punjab</t>
  </si>
  <si>
    <t>Bhikki, Punjab</t>
  </si>
  <si>
    <t>Narowal, Punjab</t>
  </si>
  <si>
    <t>Davis Energen.</t>
  </si>
  <si>
    <t>Jhang, Punjab</t>
  </si>
  <si>
    <t>GT/HRSG/ST</t>
  </si>
  <si>
    <t>NPPMCL (HBS)</t>
  </si>
  <si>
    <t>HBS, Punjab</t>
  </si>
  <si>
    <t>Port Qasim Electric</t>
  </si>
  <si>
    <t>Port Qasim, Sindh</t>
  </si>
  <si>
    <t>ST+CB</t>
  </si>
  <si>
    <t>RE</t>
  </si>
  <si>
    <t>Lasbella, Balochistan</t>
  </si>
  <si>
    <t>Tharparkar, Sindh</t>
  </si>
  <si>
    <t>Total Thermal (IPPs: CPPA-G System)</t>
  </si>
  <si>
    <t>Total Thermal in CPPA-G system (B1+B2)</t>
  </si>
  <si>
    <t>Karachi, Sindh</t>
  </si>
  <si>
    <t xml:space="preserve">D: Renewable Energy (CPPA-G System) </t>
  </si>
  <si>
    <t>D1: Wind Power Projects</t>
  </si>
  <si>
    <t>Thatta, Sindh</t>
  </si>
  <si>
    <t>WTs</t>
  </si>
  <si>
    <t>D2: Solar Power Projects</t>
  </si>
  <si>
    <t>Bahawalpur, Punjab</t>
  </si>
  <si>
    <t>Khushab, Punjab</t>
  </si>
  <si>
    <t>D3: Bagasse/Biomass Power Projects</t>
  </si>
  <si>
    <t>Rahim Yar Khan, Punjab</t>
  </si>
  <si>
    <t>Chiniot, Punjab</t>
  </si>
  <si>
    <t>Biomass/Coal</t>
  </si>
  <si>
    <t>Layyah, Punjab</t>
  </si>
  <si>
    <t>Total Renewable Energy (D1+D2+D3) (CPPA-G system) (D)</t>
  </si>
  <si>
    <t>E1: Thermal (KE Own)</t>
  </si>
  <si>
    <t>1,260‡</t>
  </si>
  <si>
    <t>GTs</t>
  </si>
  <si>
    <t>Total KE Own</t>
  </si>
  <si>
    <t>E2: Thermal (IPPs connected with KE System)</t>
  </si>
  <si>
    <t>DE+ST</t>
  </si>
  <si>
    <t>GEs+STs</t>
  </si>
  <si>
    <t>Total KE IPPs</t>
  </si>
  <si>
    <t>E3: Thermal (Others connected with KE System)</t>
  </si>
  <si>
    <t>Intl. Steel Limited</t>
  </si>
  <si>
    <t>GEs+DGs</t>
  </si>
  <si>
    <t>Intl. Ind. Limited</t>
  </si>
  <si>
    <t>GEs+ST</t>
  </si>
  <si>
    <t>CFB+STs</t>
  </si>
  <si>
    <t>Total Thermal KE (E1+E2+E3)</t>
  </si>
  <si>
    <t>E4: Renewable Energy (KE System)</t>
  </si>
  <si>
    <t>Gharo, Thatta</t>
  </si>
  <si>
    <t>Total RE (KE System)</t>
  </si>
  <si>
    <t>Total KE (KE own and others connected with KE System)</t>
  </si>
  <si>
    <t>F: SPPs / CPPs / N-CPPs (CPPA-G System)</t>
  </si>
  <si>
    <t>Total SPPs/CPPs/N-CPPs: CPPA-G System (F)</t>
  </si>
  <si>
    <t>Grand Total (A + B + C + D + E + F)</t>
  </si>
  <si>
    <t>Abbreviation</t>
  </si>
  <si>
    <t>Meaning</t>
  </si>
  <si>
    <t>ST or STs</t>
  </si>
  <si>
    <t>Steam Turbine(s) – Conventional thermal unit using steam to generate electricity.</t>
  </si>
  <si>
    <t>GT or GTs</t>
  </si>
  <si>
    <t>Gas Turbine(s) – Use natural gas or oil to generate electricity directly.</t>
  </si>
  <si>
    <t>Likely Gas Engines – Internal combustion engines running on gas (like reciprocating engines).</t>
  </si>
  <si>
    <t>CCPP</t>
  </si>
  <si>
    <t>Combined Cycle Power Plant – Combines gas turbine + heat recovery + steam turbine.</t>
  </si>
  <si>
    <t>Combination of Gas Turbines and Combined Cycle Plants.</t>
  </si>
  <si>
    <t>GTs + HRSGs + ST</t>
  </si>
  <si>
    <t>Gas Turbines + Heat Recovery Steam Generators + Steam Turbines – full combined cycle.</t>
  </si>
  <si>
    <t>DE / DEs</t>
  </si>
  <si>
    <t>Diesel Engine(s) – Reciprocating engines using diesel fuel.</t>
  </si>
  <si>
    <t>DGs</t>
  </si>
  <si>
    <t>Diesel Generators – Often same as DEs, with generator mounted.</t>
  </si>
  <si>
    <t>REs</t>
  </si>
  <si>
    <t>Reciprocating Engines – Piston-based engines (can be diesel or gas-fueled).</t>
  </si>
  <si>
    <t>ST + CB</t>
  </si>
  <si>
    <t>Steam Turbine with Condensing Boiler – a steam turbine supported by a dedicated boiler.</t>
  </si>
  <si>
    <t>GTs + ST</t>
  </si>
  <si>
    <t>Combination of Gas Turbines and Steam Turbines – often a simplified combined cycle setup.</t>
  </si>
  <si>
    <t>DEs + ST</t>
  </si>
  <si>
    <t>Diesel Engines and Steam Turbines – hybrid setup possibly using waste heat recovery.</t>
  </si>
  <si>
    <t>Reciprocating Engine</t>
  </si>
  <si>
    <t>Same as RE – piston-based internal combustion engine.</t>
  </si>
  <si>
    <t>As noted, likely Gas Engines – similar to REs but gas-fueled.</t>
  </si>
  <si>
    <t>R12_PAK</t>
  </si>
  <si>
    <t>hydro_hc</t>
  </si>
  <si>
    <t>2020</t>
  </si>
  <si>
    <t>M1</t>
  </si>
  <si>
    <t>year</t>
  </si>
  <si>
    <t>GWa</t>
  </si>
  <si>
    <t>hydro_lc</t>
  </si>
  <si>
    <t>GWh</t>
  </si>
  <si>
    <t>ratios</t>
  </si>
  <si>
    <t>from actual total</t>
  </si>
  <si>
    <t>gas_cc</t>
  </si>
  <si>
    <t>2015</t>
  </si>
  <si>
    <t>gas_ct</t>
  </si>
  <si>
    <t>gas_ppl</t>
  </si>
  <si>
    <t>loil_ppl</t>
  </si>
  <si>
    <t>actual</t>
  </si>
  <si>
    <t>coal_adv</t>
  </si>
  <si>
    <t>coal_ppl</t>
  </si>
  <si>
    <t>coal_ppl_u</t>
  </si>
  <si>
    <t>ratio</t>
  </si>
  <si>
    <t>nuc_hc</t>
  </si>
  <si>
    <t>elec_imp_asia</t>
  </si>
  <si>
    <t>wind_res_hist_2010</t>
  </si>
  <si>
    <t>wind_res_hist_2015</t>
  </si>
  <si>
    <t>wind_res_hist_2020</t>
  </si>
  <si>
    <t>actual total</t>
  </si>
  <si>
    <t>actual 2020</t>
  </si>
  <si>
    <t>solar_res_hist_2010</t>
  </si>
  <si>
    <t>solar_res_hist_2015</t>
  </si>
  <si>
    <t>solar_res_hist_2020</t>
  </si>
  <si>
    <t>bio_ppl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</si>
</sst>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1"/>
      <color theme="1"/>
      <name val="Calibri"/>
    </font>
    <font>
      <b/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C3939"/>
        <bgColor indexed="64"/>
      </patternFill>
    </fill>
  </fills>
  <borders count="2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/>
    </xf>
    <xf numFmtId="0" fontId="0" fillId="0" borderId="0" xfId="0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4" fillId="0" borderId="7" xfId="0" applyFont="1" applyBorder="1"/>
    <xf numFmtId="0" fontId="5" fillId="3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7" fillId="4" borderId="7" xfId="0" applyFont="1" applyFill="1" applyBorder="1"/>
    <xf numFmtId="0" fontId="4" fillId="4" borderId="7" xfId="0" applyFont="1" applyFill="1" applyBorder="1"/>
    <xf numFmtId="4" fontId="7" fillId="4" borderId="7" xfId="0" applyNumberFormat="1" applyFont="1" applyFill="1" applyBorder="1" applyAlignment="1">
      <alignment horizontal="right"/>
    </xf>
    <xf numFmtId="0" fontId="8" fillId="4" borderId="7" xfId="0" applyFont="1" applyFill="1" applyBorder="1"/>
    <xf numFmtId="0" fontId="8" fillId="4" borderId="7" xfId="0" applyFont="1" applyFill="1" applyBorder="1" applyAlignment="1">
      <alignment horizontal="right"/>
    </xf>
    <xf numFmtId="0" fontId="7" fillId="3" borderId="8" xfId="0" applyFont="1" applyFill="1" applyBorder="1" applyAlignment="1">
      <alignment horizontal="center"/>
    </xf>
    <xf numFmtId="4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5" fillId="5" borderId="7" xfId="0" applyFont="1" applyFill="1" applyBorder="1"/>
    <xf numFmtId="0" fontId="4" fillId="5" borderId="7" xfId="0" applyFont="1" applyFill="1" applyBorder="1"/>
    <xf numFmtId="4" fontId="5" fillId="5" borderId="7" xfId="0" applyNumberFormat="1" applyFont="1" applyFill="1" applyBorder="1" applyAlignment="1">
      <alignment horizontal="right"/>
    </xf>
    <xf numFmtId="0" fontId="7" fillId="5" borderId="7" xfId="0" applyFont="1" applyFill="1" applyBorder="1"/>
    <xf numFmtId="4" fontId="7" fillId="5" borderId="7" xfId="0" applyNumberFormat="1" applyFont="1" applyFill="1" applyBorder="1" applyAlignment="1">
      <alignment horizontal="right"/>
    </xf>
    <xf numFmtId="0" fontId="7" fillId="5" borderId="7" xfId="0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6" fillId="0" borderId="12" xfId="0" applyFont="1" applyBorder="1"/>
    <xf numFmtId="0" fontId="5" fillId="5" borderId="7" xfId="0" applyFont="1" applyFill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2" fillId="0" borderId="14" xfId="0" applyFont="1" applyBorder="1"/>
    <xf numFmtId="0" fontId="12" fillId="0" borderId="15" xfId="0" applyFont="1" applyBorder="1"/>
    <xf numFmtId="0" fontId="9" fillId="3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4" fillId="0" borderId="7" xfId="0" applyFont="1" applyBorder="1"/>
    <xf numFmtId="3" fontId="14" fillId="0" borderId="7" xfId="0" applyNumberFormat="1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15" fillId="3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3" fillId="5" borderId="7" xfId="0" applyFont="1" applyFill="1" applyBorder="1"/>
    <xf numFmtId="0" fontId="14" fillId="5" borderId="7" xfId="0" applyFont="1" applyFill="1" applyBorder="1"/>
    <xf numFmtId="3" fontId="13" fillId="5" borderId="7" xfId="0" applyNumberFormat="1" applyFont="1" applyFill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right"/>
    </xf>
    <xf numFmtId="0" fontId="15" fillId="5" borderId="7" xfId="0" applyFont="1" applyFill="1" applyBorder="1"/>
    <xf numFmtId="3" fontId="15" fillId="5" borderId="7" xfId="0" applyNumberFormat="1" applyFont="1" applyFill="1" applyBorder="1" applyAlignment="1">
      <alignment horizontal="right"/>
    </xf>
    <xf numFmtId="0" fontId="16" fillId="0" borderId="7" xfId="0" applyFont="1" applyBorder="1"/>
    <xf numFmtId="0" fontId="16" fillId="0" borderId="7" xfId="0" applyFont="1" applyBorder="1" applyAlignment="1">
      <alignment horizontal="right"/>
    </xf>
    <xf numFmtId="0" fontId="15" fillId="5" borderId="7" xfId="0" applyFont="1" applyFill="1" applyBorder="1" applyAlignment="1">
      <alignment horizontal="right"/>
    </xf>
    <xf numFmtId="0" fontId="13" fillId="0" borderId="7" xfId="0" applyFont="1" applyBorder="1"/>
    <xf numFmtId="0" fontId="13" fillId="0" borderId="7" xfId="0" applyFont="1" applyBorder="1" applyAlignment="1">
      <alignment horizontal="right"/>
    </xf>
    <xf numFmtId="0" fontId="13" fillId="3" borderId="7" xfId="0" applyFont="1" applyFill="1" applyBorder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4" fillId="0" borderId="8" xfId="0" applyFont="1" applyBorder="1"/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0" fillId="6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DAF-FC3B-4934-9E6A-BC3F73B91038}">
  <dimension ref="A1:S178"/>
  <sheetViews>
    <sheetView tabSelected="1" topLeftCell="B1" zoomScale="104" workbookViewId="0">
      <selection activeCell="G115" sqref="G115"/>
    </sheetView>
  </sheetViews>
  <sheetFormatPr defaultColWidth="15.59765625" defaultRowHeight="14.25" x14ac:dyDescent="0.45"/>
  <cols>
    <col min="1" max="1" width="51.86328125" bestFit="1" customWidth="1"/>
    <col min="11" max="11" width="16.86328125" bestFit="1" customWidth="1"/>
  </cols>
  <sheetData>
    <row r="1" spans="1:19" x14ac:dyDescent="0.45">
      <c r="A1" s="1" t="s">
        <v>0</v>
      </c>
      <c r="B1" s="2" t="s">
        <v>1</v>
      </c>
      <c r="C1" s="2" t="s">
        <v>2</v>
      </c>
      <c r="D1" s="2" t="s">
        <v>204</v>
      </c>
      <c r="E1" s="2" t="s">
        <v>205</v>
      </c>
      <c r="F1" s="2" t="s">
        <v>206</v>
      </c>
      <c r="G1" s="2" t="s">
        <v>207</v>
      </c>
      <c r="H1" s="3" t="s">
        <v>3</v>
      </c>
    </row>
    <row r="2" spans="1:19" x14ac:dyDescent="0.45">
      <c r="A2" s="4" t="s">
        <v>4</v>
      </c>
      <c r="B2" s="5"/>
      <c r="C2" s="5"/>
      <c r="D2" s="5"/>
      <c r="E2" s="5"/>
      <c r="F2" s="5"/>
      <c r="G2" s="5"/>
      <c r="H2" s="6"/>
    </row>
    <row r="3" spans="1:19" x14ac:dyDescent="0.45">
      <c r="A3" s="7" t="s">
        <v>5</v>
      </c>
      <c r="B3" s="8"/>
      <c r="C3" s="8"/>
      <c r="D3" s="8"/>
      <c r="E3" s="8"/>
      <c r="F3" s="8"/>
      <c r="G3" s="8"/>
      <c r="H3" s="8"/>
      <c r="P3" t="s">
        <v>383</v>
      </c>
      <c r="Q3" t="s">
        <v>384</v>
      </c>
      <c r="R3" t="s">
        <v>385</v>
      </c>
      <c r="S3" t="s">
        <v>381</v>
      </c>
    </row>
    <row r="4" spans="1:19" x14ac:dyDescent="0.45">
      <c r="A4" s="9" t="s">
        <v>6</v>
      </c>
      <c r="B4" s="9" t="s">
        <v>7</v>
      </c>
      <c r="C4" s="9" t="s">
        <v>7</v>
      </c>
      <c r="D4" s="10">
        <v>15990.31</v>
      </c>
      <c r="E4" s="10">
        <v>15049.44</v>
      </c>
      <c r="F4" s="10">
        <v>13356.86</v>
      </c>
      <c r="G4" s="10">
        <v>10619.28</v>
      </c>
      <c r="H4" s="10">
        <v>11923.93</v>
      </c>
      <c r="I4" t="s">
        <v>376</v>
      </c>
      <c r="J4" t="s">
        <v>377</v>
      </c>
      <c r="K4" t="s">
        <v>378</v>
      </c>
      <c r="L4" t="s">
        <v>379</v>
      </c>
      <c r="M4" t="s">
        <v>380</v>
      </c>
      <c r="N4">
        <v>3.6688483440642421</v>
      </c>
      <c r="O4" t="s">
        <v>381</v>
      </c>
      <c r="P4">
        <f>N4*8760</f>
        <v>32139.111494002762</v>
      </c>
      <c r="Q4">
        <f>N4/(N4+N5)</f>
        <v>0.95799888870257255</v>
      </c>
      <c r="R4">
        <f>H37*Q4</f>
        <v>37350.422352780348</v>
      </c>
      <c r="S4">
        <f>R4/8760</f>
        <v>4.2637468439246975</v>
      </c>
    </row>
    <row r="5" spans="1:19" x14ac:dyDescent="0.45">
      <c r="A5" s="9" t="s">
        <v>8</v>
      </c>
      <c r="B5" s="9" t="s">
        <v>7</v>
      </c>
      <c r="C5" s="9" t="s">
        <v>7</v>
      </c>
      <c r="D5" s="11"/>
      <c r="E5" s="11"/>
      <c r="F5" s="11"/>
      <c r="G5" s="10">
        <v>2318.06</v>
      </c>
      <c r="H5" s="10">
        <v>5498.03</v>
      </c>
      <c r="I5" t="s">
        <v>376</v>
      </c>
      <c r="J5" t="s">
        <v>382</v>
      </c>
      <c r="K5" t="s">
        <v>378</v>
      </c>
      <c r="L5" t="s">
        <v>379</v>
      </c>
      <c r="M5" t="s">
        <v>380</v>
      </c>
      <c r="N5">
        <v>0.16085165593575779</v>
      </c>
      <c r="O5" t="s">
        <v>381</v>
      </c>
      <c r="P5">
        <f>N5*8760</f>
        <v>1409.0605059972381</v>
      </c>
      <c r="Q5">
        <f>N5/(N5+N4)</f>
        <v>4.2001111297427424E-2</v>
      </c>
      <c r="R5">
        <f>H37*Q5</f>
        <v>1637.5376472196485</v>
      </c>
      <c r="S5">
        <f>R5/8760</f>
        <v>0.186933521372106</v>
      </c>
    </row>
    <row r="6" spans="1:19" x14ac:dyDescent="0.45">
      <c r="A6" s="9" t="s">
        <v>9</v>
      </c>
      <c r="B6" s="9" t="s">
        <v>7</v>
      </c>
      <c r="C6" s="9" t="s">
        <v>7</v>
      </c>
      <c r="D6" s="10">
        <v>6721.69</v>
      </c>
      <c r="E6" s="10">
        <v>6885.76</v>
      </c>
      <c r="F6" s="10">
        <v>6020.89</v>
      </c>
      <c r="G6" s="10">
        <v>6552.14</v>
      </c>
      <c r="H6" s="10">
        <v>6551.36</v>
      </c>
      <c r="N6">
        <f>SUBTOTAL(9,N4:N5)</f>
        <v>3.8296999999999999</v>
      </c>
      <c r="O6" t="s">
        <v>381</v>
      </c>
      <c r="S6">
        <f>SUM(S4:S5)</f>
        <v>4.4506803652968037</v>
      </c>
    </row>
    <row r="7" spans="1:19" x14ac:dyDescent="0.45">
      <c r="A7" s="9" t="s">
        <v>10</v>
      </c>
      <c r="B7" s="9" t="s">
        <v>7</v>
      </c>
      <c r="C7" s="9" t="s">
        <v>7</v>
      </c>
      <c r="D7" s="10">
        <v>6864.4</v>
      </c>
      <c r="E7" s="10">
        <v>5347.57</v>
      </c>
      <c r="F7" s="10">
        <v>4141.8599999999997</v>
      </c>
      <c r="G7" s="10">
        <v>3860.85</v>
      </c>
      <c r="H7" s="10">
        <v>4686.3599999999997</v>
      </c>
      <c r="N7">
        <f>N6*8760</f>
        <v>33548.171999999999</v>
      </c>
      <c r="O7" t="s">
        <v>383</v>
      </c>
    </row>
    <row r="8" spans="1:19" x14ac:dyDescent="0.45">
      <c r="A8" s="9" t="s">
        <v>11</v>
      </c>
      <c r="B8" s="9" t="s">
        <v>7</v>
      </c>
      <c r="C8" s="9" t="s">
        <v>7</v>
      </c>
      <c r="D8" s="10">
        <v>924.25</v>
      </c>
      <c r="E8" s="10">
        <v>985.44</v>
      </c>
      <c r="F8" s="10">
        <v>916.53</v>
      </c>
      <c r="G8" s="10">
        <v>1002.27</v>
      </c>
      <c r="H8" s="10">
        <v>1104.95</v>
      </c>
    </row>
    <row r="9" spans="1:19" x14ac:dyDescent="0.45">
      <c r="A9" s="9" t="s">
        <v>12</v>
      </c>
      <c r="B9" s="9" t="s">
        <v>7</v>
      </c>
      <c r="C9" s="9" t="s">
        <v>7</v>
      </c>
      <c r="D9" s="10">
        <v>897.05</v>
      </c>
      <c r="E9" s="10">
        <v>890.33</v>
      </c>
      <c r="F9" s="10">
        <v>756</v>
      </c>
      <c r="G9" s="10">
        <v>767.16</v>
      </c>
      <c r="H9" s="10">
        <v>751.58</v>
      </c>
    </row>
    <row r="10" spans="1:19" x14ac:dyDescent="0.45">
      <c r="A10" s="9" t="s">
        <v>13</v>
      </c>
      <c r="B10" s="9" t="s">
        <v>7</v>
      </c>
      <c r="C10" s="9" t="s">
        <v>7</v>
      </c>
      <c r="D10" s="10">
        <v>37.64</v>
      </c>
      <c r="E10" s="10">
        <v>199.06</v>
      </c>
      <c r="F10" s="10">
        <v>170.9</v>
      </c>
      <c r="G10" s="10">
        <v>237.74</v>
      </c>
      <c r="H10" s="10">
        <v>279.12</v>
      </c>
    </row>
    <row r="11" spans="1:19" x14ac:dyDescent="0.45">
      <c r="A11" s="9" t="s">
        <v>14</v>
      </c>
      <c r="B11" s="9" t="s">
        <v>7</v>
      </c>
      <c r="C11" s="9" t="s">
        <v>7</v>
      </c>
      <c r="D11" s="10">
        <v>568.41999999999996</v>
      </c>
      <c r="E11" s="10">
        <v>396.66</v>
      </c>
      <c r="F11" s="10">
        <v>275.89</v>
      </c>
      <c r="G11" s="10">
        <v>462.09</v>
      </c>
      <c r="H11" s="10">
        <v>475.1</v>
      </c>
    </row>
    <row r="12" spans="1:19" x14ac:dyDescent="0.45">
      <c r="A12" s="9" t="s">
        <v>15</v>
      </c>
      <c r="B12" s="9" t="s">
        <v>7</v>
      </c>
      <c r="C12" s="9" t="s">
        <v>7</v>
      </c>
      <c r="D12" s="10">
        <v>296.32</v>
      </c>
      <c r="E12" s="10">
        <v>292.69</v>
      </c>
      <c r="F12" s="10">
        <v>230.25</v>
      </c>
      <c r="G12" s="10">
        <v>225.63</v>
      </c>
      <c r="H12" s="10">
        <v>182.27</v>
      </c>
    </row>
    <row r="13" spans="1:19" x14ac:dyDescent="0.45">
      <c r="A13" s="9" t="s">
        <v>16</v>
      </c>
      <c r="B13" s="9" t="s">
        <v>7</v>
      </c>
      <c r="C13" s="9" t="s">
        <v>7</v>
      </c>
      <c r="D13" s="10">
        <v>643.07000000000005</v>
      </c>
      <c r="E13" s="10">
        <v>589.47</v>
      </c>
      <c r="F13" s="10">
        <v>514.83000000000004</v>
      </c>
      <c r="G13" s="10">
        <v>594.41999999999996</v>
      </c>
      <c r="H13" s="10">
        <v>611.54999999999995</v>
      </c>
    </row>
    <row r="14" spans="1:19" x14ac:dyDescent="0.45">
      <c r="A14" s="9" t="s">
        <v>17</v>
      </c>
      <c r="B14" s="9" t="s">
        <v>7</v>
      </c>
      <c r="C14" s="9" t="s">
        <v>7</v>
      </c>
      <c r="D14" s="11"/>
      <c r="E14" s="11"/>
      <c r="F14" s="10">
        <v>174.08</v>
      </c>
      <c r="G14" s="10">
        <v>3964.68</v>
      </c>
      <c r="H14" s="10">
        <v>4842.3</v>
      </c>
    </row>
    <row r="15" spans="1:19" x14ac:dyDescent="0.45">
      <c r="A15" s="9" t="s">
        <v>18</v>
      </c>
      <c r="B15" s="9" t="s">
        <v>7</v>
      </c>
      <c r="C15" s="9" t="s">
        <v>7</v>
      </c>
      <c r="D15" s="11"/>
      <c r="E15" s="11"/>
      <c r="F15" s="11"/>
      <c r="G15" s="10">
        <v>99.31</v>
      </c>
      <c r="H15" s="10">
        <v>88.85</v>
      </c>
    </row>
    <row r="16" spans="1:19" x14ac:dyDescent="0.45">
      <c r="A16" s="12" t="s">
        <v>19</v>
      </c>
      <c r="B16" s="13"/>
      <c r="C16" s="13"/>
      <c r="D16" s="13"/>
      <c r="E16" s="13"/>
      <c r="F16" s="13"/>
      <c r="G16" s="13"/>
      <c r="H16" s="14"/>
    </row>
    <row r="17" spans="1:8" x14ac:dyDescent="0.45">
      <c r="A17" s="9" t="s">
        <v>20</v>
      </c>
      <c r="B17" s="9" t="s">
        <v>7</v>
      </c>
      <c r="C17" s="9" t="s">
        <v>7</v>
      </c>
      <c r="D17" s="10">
        <v>114.58</v>
      </c>
      <c r="E17" s="10">
        <v>104.8</v>
      </c>
      <c r="F17" s="10">
        <v>95.72</v>
      </c>
      <c r="G17" s="10">
        <v>109.35</v>
      </c>
      <c r="H17" s="10">
        <v>98.91</v>
      </c>
    </row>
    <row r="18" spans="1:8" x14ac:dyDescent="0.45">
      <c r="A18" s="9" t="s">
        <v>21</v>
      </c>
      <c r="B18" s="9" t="s">
        <v>7</v>
      </c>
      <c r="C18" s="9" t="s">
        <v>7</v>
      </c>
      <c r="D18" s="10">
        <v>95.98</v>
      </c>
      <c r="E18" s="10">
        <v>93.47</v>
      </c>
      <c r="F18" s="10">
        <v>65.540000000000006</v>
      </c>
      <c r="G18" s="10">
        <v>71.86</v>
      </c>
      <c r="H18" s="10">
        <v>36.56</v>
      </c>
    </row>
    <row r="19" spans="1:8" x14ac:dyDescent="0.45">
      <c r="A19" s="9" t="s">
        <v>22</v>
      </c>
      <c r="B19" s="9" t="s">
        <v>7</v>
      </c>
      <c r="C19" s="9" t="s">
        <v>7</v>
      </c>
      <c r="D19" s="10">
        <v>25.55</v>
      </c>
      <c r="E19" s="10">
        <v>31.05</v>
      </c>
      <c r="F19" s="10">
        <v>25.93</v>
      </c>
      <c r="G19" s="10">
        <v>28.39</v>
      </c>
      <c r="H19" s="10">
        <v>14.25</v>
      </c>
    </row>
    <row r="20" spans="1:8" x14ac:dyDescent="0.45">
      <c r="A20" s="9" t="s">
        <v>23</v>
      </c>
      <c r="B20" s="9" t="s">
        <v>7</v>
      </c>
      <c r="C20" s="9" t="s">
        <v>7</v>
      </c>
      <c r="D20" s="10">
        <v>34.159999999999997</v>
      </c>
      <c r="E20" s="10">
        <v>34.229999999999997</v>
      </c>
      <c r="F20" s="10">
        <v>31.43</v>
      </c>
      <c r="G20" s="10">
        <v>29.05</v>
      </c>
      <c r="H20" s="10">
        <v>30.36</v>
      </c>
    </row>
    <row r="21" spans="1:8" x14ac:dyDescent="0.45">
      <c r="A21" s="9" t="s">
        <v>24</v>
      </c>
      <c r="B21" s="9" t="s">
        <v>7</v>
      </c>
      <c r="C21" s="9" t="s">
        <v>7</v>
      </c>
      <c r="D21" s="10">
        <v>40.75</v>
      </c>
      <c r="E21" s="10">
        <v>43.15</v>
      </c>
      <c r="F21" s="10">
        <v>45.73</v>
      </c>
      <c r="G21" s="10">
        <v>36.97</v>
      </c>
      <c r="H21" s="10">
        <v>35.25</v>
      </c>
    </row>
    <row r="22" spans="1:8" x14ac:dyDescent="0.45">
      <c r="A22" s="9" t="s">
        <v>25</v>
      </c>
      <c r="B22" s="9" t="s">
        <v>7</v>
      </c>
      <c r="C22" s="9" t="s">
        <v>7</v>
      </c>
      <c r="D22" s="10">
        <v>23.4</v>
      </c>
      <c r="E22" s="10">
        <v>18.440000000000001</v>
      </c>
      <c r="F22" s="10">
        <v>17.239999999999998</v>
      </c>
      <c r="G22" s="10">
        <v>14.23</v>
      </c>
      <c r="H22" s="10">
        <v>15.28</v>
      </c>
    </row>
    <row r="23" spans="1:8" x14ac:dyDescent="0.45">
      <c r="A23" s="9" t="s">
        <v>26</v>
      </c>
      <c r="B23" s="9" t="s">
        <v>7</v>
      </c>
      <c r="C23" s="9" t="s">
        <v>7</v>
      </c>
      <c r="D23" s="10">
        <v>2.0299999999999998</v>
      </c>
      <c r="E23" s="10">
        <v>2.2000000000000002</v>
      </c>
      <c r="F23" s="10">
        <v>2.31</v>
      </c>
      <c r="G23" s="10">
        <v>2.19</v>
      </c>
      <c r="H23" s="10">
        <v>2.08</v>
      </c>
    </row>
    <row r="24" spans="1:8" x14ac:dyDescent="0.45">
      <c r="A24" s="9" t="s">
        <v>27</v>
      </c>
      <c r="B24" s="9" t="s">
        <v>7</v>
      </c>
      <c r="C24" s="9" t="s">
        <v>7</v>
      </c>
      <c r="D24" s="10">
        <v>3.6</v>
      </c>
      <c r="E24" s="10">
        <v>4.2</v>
      </c>
      <c r="F24" s="10">
        <v>3.45</v>
      </c>
      <c r="G24" s="10">
        <v>3.51</v>
      </c>
      <c r="H24" s="10">
        <v>3.05</v>
      </c>
    </row>
    <row r="25" spans="1:8" x14ac:dyDescent="0.45">
      <c r="A25" s="9" t="s">
        <v>28</v>
      </c>
      <c r="B25" s="9" t="s">
        <v>7</v>
      </c>
      <c r="C25" s="9" t="s">
        <v>7</v>
      </c>
      <c r="D25" s="10">
        <v>11.86</v>
      </c>
      <c r="E25" s="10">
        <v>6.17</v>
      </c>
      <c r="F25" s="10">
        <v>0.36</v>
      </c>
      <c r="G25" s="10">
        <v>32.68</v>
      </c>
      <c r="H25" s="10">
        <v>55.25</v>
      </c>
    </row>
    <row r="26" spans="1:8" x14ac:dyDescent="0.45">
      <c r="A26" s="9" t="s">
        <v>29</v>
      </c>
      <c r="B26" s="9" t="s">
        <v>7</v>
      </c>
      <c r="C26" s="9" t="s">
        <v>7</v>
      </c>
      <c r="D26" s="10">
        <v>138.27000000000001</v>
      </c>
      <c r="E26" s="10">
        <v>117.16</v>
      </c>
      <c r="F26" s="10">
        <v>105.39</v>
      </c>
      <c r="G26" s="10">
        <v>135.99</v>
      </c>
      <c r="H26" s="10">
        <v>139.02000000000001</v>
      </c>
    </row>
    <row r="27" spans="1:8" x14ac:dyDescent="0.45">
      <c r="A27" s="15" t="s">
        <v>30</v>
      </c>
      <c r="B27" s="16"/>
      <c r="C27" s="16"/>
      <c r="D27" s="17">
        <v>33433.33</v>
      </c>
      <c r="E27" s="17">
        <v>31091.29</v>
      </c>
      <c r="F27" s="17">
        <v>26951.19</v>
      </c>
      <c r="G27" s="17">
        <v>31167.85</v>
      </c>
      <c r="H27" s="17">
        <v>37425.410000000003</v>
      </c>
    </row>
    <row r="28" spans="1:8" x14ac:dyDescent="0.45">
      <c r="A28" s="12" t="s">
        <v>31</v>
      </c>
      <c r="B28" s="13"/>
      <c r="C28" s="13"/>
      <c r="D28" s="13"/>
      <c r="E28" s="13"/>
      <c r="F28" s="13"/>
      <c r="G28" s="13"/>
      <c r="H28" s="14"/>
    </row>
    <row r="29" spans="1:8" x14ac:dyDescent="0.45">
      <c r="A29" s="9" t="s">
        <v>32</v>
      </c>
      <c r="B29" s="9" t="s">
        <v>7</v>
      </c>
      <c r="C29" s="9" t="s">
        <v>7</v>
      </c>
      <c r="D29" s="10">
        <v>425</v>
      </c>
      <c r="E29" s="10">
        <v>426</v>
      </c>
      <c r="F29" s="10">
        <v>362.11</v>
      </c>
      <c r="G29" s="10">
        <v>399.25</v>
      </c>
      <c r="H29" s="10">
        <v>408.53</v>
      </c>
    </row>
    <row r="30" spans="1:8" x14ac:dyDescent="0.45">
      <c r="A30" s="9" t="s">
        <v>33</v>
      </c>
      <c r="B30" s="9" t="s">
        <v>7</v>
      </c>
      <c r="C30" s="9" t="s">
        <v>7</v>
      </c>
      <c r="D30" s="10">
        <v>40</v>
      </c>
      <c r="E30" s="10">
        <v>45</v>
      </c>
      <c r="F30" s="10">
        <v>32.61</v>
      </c>
      <c r="G30" s="10">
        <v>35.86</v>
      </c>
      <c r="H30" s="10">
        <v>50.59</v>
      </c>
    </row>
    <row r="31" spans="1:8" x14ac:dyDescent="0.45">
      <c r="A31" s="9" t="s">
        <v>34</v>
      </c>
      <c r="B31" s="9" t="s">
        <v>7</v>
      </c>
      <c r="C31" s="9" t="s">
        <v>7</v>
      </c>
      <c r="D31" s="10">
        <v>545</v>
      </c>
      <c r="E31" s="10">
        <v>424</v>
      </c>
      <c r="F31" s="10">
        <v>389.66</v>
      </c>
      <c r="G31" s="10">
        <v>354.38</v>
      </c>
      <c r="H31" s="10">
        <v>384.43</v>
      </c>
    </row>
    <row r="32" spans="1:8" x14ac:dyDescent="0.45">
      <c r="A32" s="9" t="s">
        <v>35</v>
      </c>
      <c r="B32" s="9" t="s">
        <v>7</v>
      </c>
      <c r="C32" s="9" t="s">
        <v>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spans="1:19" x14ac:dyDescent="0.45">
      <c r="A33" s="9" t="s">
        <v>36</v>
      </c>
      <c r="B33" s="9" t="s">
        <v>7</v>
      </c>
      <c r="C33" s="9" t="s">
        <v>7</v>
      </c>
      <c r="D33" s="11"/>
      <c r="E33" s="11"/>
      <c r="F33" s="10">
        <v>0.74</v>
      </c>
      <c r="G33" s="10">
        <v>527.45000000000005</v>
      </c>
      <c r="H33" s="10">
        <v>32.159999999999997</v>
      </c>
    </row>
    <row r="34" spans="1:19" x14ac:dyDescent="0.45">
      <c r="A34" s="9" t="s">
        <v>37</v>
      </c>
      <c r="B34" s="9" t="s">
        <v>7</v>
      </c>
      <c r="C34" s="9" t="s">
        <v>7</v>
      </c>
      <c r="D34" s="11"/>
      <c r="E34" s="11"/>
      <c r="F34" s="10">
        <v>246.2</v>
      </c>
      <c r="G34" s="10">
        <v>527.45000000000005</v>
      </c>
      <c r="H34" s="10">
        <v>566.25</v>
      </c>
    </row>
    <row r="35" spans="1:19" x14ac:dyDescent="0.45">
      <c r="A35" s="9" t="s">
        <v>38</v>
      </c>
      <c r="B35" s="9" t="s">
        <v>7</v>
      </c>
      <c r="C35" s="9" t="s">
        <v>7</v>
      </c>
      <c r="D35" s="11"/>
      <c r="E35" s="11"/>
      <c r="F35" s="11"/>
      <c r="G35" s="11"/>
      <c r="H35" s="10">
        <v>34.33</v>
      </c>
    </row>
    <row r="36" spans="1:19" x14ac:dyDescent="0.45">
      <c r="A36" s="18" t="s">
        <v>39</v>
      </c>
      <c r="B36" s="18" t="s">
        <v>7</v>
      </c>
      <c r="C36" s="18" t="s">
        <v>7</v>
      </c>
      <c r="D36" s="19">
        <v>1121</v>
      </c>
      <c r="E36" s="19">
        <v>988</v>
      </c>
      <c r="F36" s="19">
        <v>1118.24</v>
      </c>
      <c r="G36" s="19">
        <v>1928.04</v>
      </c>
      <c r="H36" s="19">
        <v>1562.55</v>
      </c>
    </row>
    <row r="37" spans="1:19" x14ac:dyDescent="0.45">
      <c r="A37" s="18" t="s">
        <v>40</v>
      </c>
      <c r="B37" s="18" t="s">
        <v>7</v>
      </c>
      <c r="C37" s="18" t="s">
        <v>7</v>
      </c>
      <c r="D37" s="19">
        <v>34554.33</v>
      </c>
      <c r="E37" s="19">
        <v>32079.29</v>
      </c>
      <c r="F37" s="19">
        <v>28069.43</v>
      </c>
      <c r="G37" s="19">
        <v>33095.89</v>
      </c>
      <c r="H37" s="19">
        <v>38987.96</v>
      </c>
    </row>
    <row r="38" spans="1:19" x14ac:dyDescent="0.45">
      <c r="A38" s="20" t="s">
        <v>41</v>
      </c>
      <c r="B38" s="13"/>
      <c r="C38" s="13"/>
      <c r="D38" s="13"/>
      <c r="E38" s="13"/>
      <c r="F38" s="13"/>
      <c r="G38" s="13"/>
      <c r="H38" s="14"/>
    </row>
    <row r="39" spans="1:19" x14ac:dyDescent="0.45">
      <c r="A39" s="9" t="s">
        <v>42</v>
      </c>
      <c r="B39" s="9" t="s">
        <v>43</v>
      </c>
      <c r="C39" s="11" t="s">
        <v>44</v>
      </c>
      <c r="D39" s="10">
        <v>3246.46</v>
      </c>
      <c r="E39" s="10">
        <v>3253.56</v>
      </c>
      <c r="F39" s="10">
        <v>1792.06</v>
      </c>
      <c r="G39" s="10">
        <v>880.09</v>
      </c>
      <c r="H39" s="10">
        <v>209.9</v>
      </c>
    </row>
    <row r="40" spans="1:19" x14ac:dyDescent="0.45">
      <c r="A40" s="9" t="s">
        <v>45</v>
      </c>
      <c r="B40" s="9" t="s">
        <v>46</v>
      </c>
      <c r="C40" s="11" t="s">
        <v>47</v>
      </c>
      <c r="D40" s="10">
        <v>582.02</v>
      </c>
      <c r="E40" s="10">
        <v>338.67</v>
      </c>
      <c r="F40" s="10">
        <v>94.92</v>
      </c>
      <c r="G40" s="10">
        <v>37.19</v>
      </c>
      <c r="H40" s="10">
        <v>0</v>
      </c>
    </row>
    <row r="41" spans="1:19" x14ac:dyDescent="0.45">
      <c r="A41" s="9" t="s">
        <v>48</v>
      </c>
      <c r="B41" s="9" t="s">
        <v>49</v>
      </c>
      <c r="C41" s="11" t="s">
        <v>44</v>
      </c>
      <c r="D41" s="10">
        <v>148.63999999999999</v>
      </c>
      <c r="E41" s="10">
        <v>227.08</v>
      </c>
      <c r="F41" s="10">
        <v>258.11</v>
      </c>
      <c r="G41" s="10">
        <v>10.02</v>
      </c>
      <c r="H41" s="10">
        <v>0</v>
      </c>
      <c r="R41" t="s">
        <v>385</v>
      </c>
      <c r="S41" t="s">
        <v>381</v>
      </c>
    </row>
    <row r="42" spans="1:19" x14ac:dyDescent="0.45">
      <c r="A42" s="9" t="s">
        <v>50</v>
      </c>
      <c r="B42" s="9" t="s">
        <v>46</v>
      </c>
      <c r="C42" s="11"/>
      <c r="D42" s="10">
        <v>2058.19</v>
      </c>
      <c r="E42" s="10">
        <v>2487.81</v>
      </c>
      <c r="F42" s="10">
        <v>3617.95</v>
      </c>
      <c r="G42" s="21">
        <v>3467.3</v>
      </c>
      <c r="H42" s="10">
        <v>1294.8399999999999</v>
      </c>
      <c r="J42" t="s">
        <v>376</v>
      </c>
      <c r="K42" t="s">
        <v>386</v>
      </c>
      <c r="L42" s="78" t="s">
        <v>378</v>
      </c>
      <c r="M42" t="s">
        <v>379</v>
      </c>
      <c r="N42" t="s">
        <v>380</v>
      </c>
      <c r="O42">
        <v>4.1931151360604453</v>
      </c>
      <c r="P42" t="s">
        <v>381</v>
      </c>
      <c r="Q42">
        <f>O42/(O42+O43+O44)</f>
        <v>0.74247279965656399</v>
      </c>
      <c r="R42">
        <f>51233.78*Q42</f>
        <v>38039.688073588477</v>
      </c>
      <c r="S42">
        <f>R42/8760</f>
        <v>4.3424301453868122</v>
      </c>
    </row>
    <row r="43" spans="1:19" x14ac:dyDescent="0.45">
      <c r="A43" s="9" t="s">
        <v>51</v>
      </c>
      <c r="B43" s="9" t="s">
        <v>46</v>
      </c>
      <c r="C43" s="11"/>
      <c r="D43" s="10">
        <v>272.26</v>
      </c>
      <c r="E43" s="10">
        <v>820.54</v>
      </c>
      <c r="F43" s="10">
        <v>1043.97</v>
      </c>
      <c r="G43" s="22">
        <v>837.2</v>
      </c>
      <c r="H43" s="10">
        <v>311.56</v>
      </c>
      <c r="J43" t="s">
        <v>376</v>
      </c>
      <c r="K43" t="s">
        <v>388</v>
      </c>
      <c r="L43" s="78" t="s">
        <v>378</v>
      </c>
      <c r="M43" t="s">
        <v>379</v>
      </c>
      <c r="N43" t="s">
        <v>380</v>
      </c>
      <c r="O43">
        <v>7.9632278867724157E-2</v>
      </c>
      <c r="P43" t="s">
        <v>381</v>
      </c>
      <c r="Q43">
        <f>O43/(O42+O43+O44)</f>
        <v>1.4100447785342923E-2</v>
      </c>
      <c r="R43">
        <f t="shared" ref="R43:R44" si="0">51233.78*Q43</f>
        <v>722.41923973574649</v>
      </c>
      <c r="S43">
        <f t="shared" ref="S43:S44" si="1">R43/8760</f>
        <v>8.2467949741523577E-2</v>
      </c>
    </row>
    <row r="44" spans="1:19" x14ac:dyDescent="0.45">
      <c r="A44" s="9" t="s">
        <v>52</v>
      </c>
      <c r="B44" s="9" t="s">
        <v>46</v>
      </c>
      <c r="C44" s="11" t="s">
        <v>47</v>
      </c>
      <c r="D44" s="10">
        <v>3551.47</v>
      </c>
      <c r="E44" s="10">
        <v>4543.55</v>
      </c>
      <c r="F44" s="10">
        <v>3855.08</v>
      </c>
      <c r="G44" s="10">
        <v>5069.78</v>
      </c>
      <c r="H44" s="10">
        <v>4315.3500000000004</v>
      </c>
      <c r="J44" t="s">
        <v>376</v>
      </c>
      <c r="K44" t="s">
        <v>389</v>
      </c>
      <c r="L44" s="78" t="s">
        <v>378</v>
      </c>
      <c r="M44" t="s">
        <v>379</v>
      </c>
      <c r="N44" t="s">
        <v>380</v>
      </c>
      <c r="O44">
        <v>1.374752585071831</v>
      </c>
      <c r="P44" t="s">
        <v>381</v>
      </c>
      <c r="Q44">
        <f>O44/(O42+O43+O44)</f>
        <v>0.24342675255809312</v>
      </c>
      <c r="R44">
        <f t="shared" si="0"/>
        <v>12471.67268667578</v>
      </c>
      <c r="S44">
        <f t="shared" si="1"/>
        <v>1.4237069277027146</v>
      </c>
    </row>
    <row r="45" spans="1:19" x14ac:dyDescent="0.45">
      <c r="A45" s="9" t="s">
        <v>53</v>
      </c>
      <c r="B45" s="9" t="s">
        <v>46</v>
      </c>
      <c r="C45" s="11"/>
      <c r="D45" s="10">
        <v>111.29</v>
      </c>
      <c r="E45" s="10">
        <v>53.32</v>
      </c>
      <c r="F45" s="10">
        <v>0</v>
      </c>
      <c r="G45" s="10">
        <v>0</v>
      </c>
      <c r="H45" s="22">
        <v>0</v>
      </c>
      <c r="O45">
        <f>SUBTOTAL(9,O42:O44)</f>
        <v>5.6475</v>
      </c>
      <c r="P45" t="s">
        <v>381</v>
      </c>
      <c r="S45">
        <f>SUM(S42:S44)</f>
        <v>5.8486050228310509</v>
      </c>
    </row>
    <row r="46" spans="1:19" x14ac:dyDescent="0.45">
      <c r="A46" s="9" t="s">
        <v>54</v>
      </c>
      <c r="B46" s="9" t="s">
        <v>46</v>
      </c>
      <c r="C46" s="11" t="s">
        <v>44</v>
      </c>
      <c r="D46" s="10">
        <v>4644.6499999999996</v>
      </c>
      <c r="E46" s="10">
        <v>5160.13</v>
      </c>
      <c r="F46" s="10">
        <v>3040.37</v>
      </c>
      <c r="G46" s="10">
        <v>836.73</v>
      </c>
      <c r="H46" s="10">
        <v>299.86</v>
      </c>
      <c r="O46">
        <f>O45*8760</f>
        <v>49472.1</v>
      </c>
      <c r="P46" t="s">
        <v>383</v>
      </c>
    </row>
    <row r="47" spans="1:19" x14ac:dyDescent="0.45">
      <c r="A47" s="9" t="s">
        <v>55</v>
      </c>
      <c r="B47" s="9" t="s">
        <v>46</v>
      </c>
      <c r="C47" s="11" t="s">
        <v>44</v>
      </c>
      <c r="D47" s="10">
        <v>85.84</v>
      </c>
      <c r="E47" s="10">
        <v>107.68</v>
      </c>
      <c r="F47" s="10">
        <v>6.26</v>
      </c>
      <c r="G47" s="10">
        <v>0</v>
      </c>
      <c r="H47" s="10">
        <v>0</v>
      </c>
    </row>
    <row r="48" spans="1:19" x14ac:dyDescent="0.45">
      <c r="A48" s="9" t="s">
        <v>56</v>
      </c>
      <c r="B48" s="9" t="s">
        <v>46</v>
      </c>
      <c r="C48" s="11" t="s">
        <v>47</v>
      </c>
      <c r="D48" s="10">
        <v>275.16000000000003</v>
      </c>
      <c r="E48" s="10">
        <v>214.62</v>
      </c>
      <c r="F48" s="10">
        <v>105.29</v>
      </c>
      <c r="G48" s="10">
        <v>149.53</v>
      </c>
      <c r="H48" s="10">
        <v>0</v>
      </c>
    </row>
    <row r="49" spans="1:18" x14ac:dyDescent="0.45">
      <c r="A49" s="9" t="s">
        <v>57</v>
      </c>
      <c r="B49" s="9" t="s">
        <v>49</v>
      </c>
      <c r="C49" s="11" t="s">
        <v>47</v>
      </c>
      <c r="D49" s="10">
        <v>1267.78</v>
      </c>
      <c r="E49" s="10">
        <v>1379.05</v>
      </c>
      <c r="F49" s="10">
        <v>2381.6999999999998</v>
      </c>
      <c r="G49" s="10">
        <v>1729.09</v>
      </c>
      <c r="H49" s="10">
        <v>1476.33</v>
      </c>
    </row>
    <row r="50" spans="1:18" x14ac:dyDescent="0.45">
      <c r="A50" s="9" t="s">
        <v>58</v>
      </c>
      <c r="B50" s="9" t="s">
        <v>59</v>
      </c>
      <c r="C50" s="9" t="s">
        <v>59</v>
      </c>
      <c r="D50" s="10">
        <v>148.16</v>
      </c>
      <c r="E50" s="10">
        <v>123.97</v>
      </c>
      <c r="F50" s="10">
        <v>3.39</v>
      </c>
      <c r="G50" s="10">
        <v>0.06</v>
      </c>
      <c r="H50" s="10">
        <v>0</v>
      </c>
    </row>
    <row r="51" spans="1:18" x14ac:dyDescent="0.45">
      <c r="A51" s="23" t="s">
        <v>60</v>
      </c>
      <c r="B51" s="24"/>
      <c r="C51" s="24"/>
      <c r="D51" s="25">
        <v>16391.91</v>
      </c>
      <c r="E51" s="25">
        <v>18709.990000000002</v>
      </c>
      <c r="F51" s="25">
        <v>16199.1</v>
      </c>
      <c r="G51" s="25">
        <v>13016.99</v>
      </c>
      <c r="H51" s="25">
        <v>7907.85</v>
      </c>
    </row>
    <row r="52" spans="1:18" x14ac:dyDescent="0.45">
      <c r="A52" s="12" t="s">
        <v>61</v>
      </c>
      <c r="B52" s="13"/>
      <c r="C52" s="13"/>
      <c r="D52" s="13"/>
      <c r="E52" s="13"/>
      <c r="F52" s="13"/>
      <c r="G52" s="13"/>
      <c r="H52" s="14"/>
    </row>
    <row r="53" spans="1:18" x14ac:dyDescent="0.45">
      <c r="A53" s="11" t="s">
        <v>62</v>
      </c>
      <c r="B53" s="11" t="s">
        <v>44</v>
      </c>
      <c r="C53" s="11" t="s">
        <v>63</v>
      </c>
      <c r="D53" s="21">
        <v>1946.1</v>
      </c>
      <c r="E53" s="21">
        <v>1601.09</v>
      </c>
      <c r="F53" s="21">
        <v>1089.06</v>
      </c>
      <c r="G53" s="22">
        <v>613.79999999999995</v>
      </c>
      <c r="H53" s="22">
        <v>186.32</v>
      </c>
      <c r="J53" t="s">
        <v>376</v>
      </c>
      <c r="K53" s="68" t="s">
        <v>390</v>
      </c>
      <c r="L53" t="s">
        <v>378</v>
      </c>
      <c r="M53" t="s">
        <v>379</v>
      </c>
      <c r="N53" t="s">
        <v>380</v>
      </c>
      <c r="O53">
        <v>1.9630000000000001</v>
      </c>
      <c r="P53" t="s">
        <v>381</v>
      </c>
      <c r="Q53">
        <v>4183.7199999999993</v>
      </c>
      <c r="R53">
        <f>Q53/8760</f>
        <v>0.47759360730593597</v>
      </c>
    </row>
    <row r="54" spans="1:18" x14ac:dyDescent="0.45">
      <c r="A54" s="11" t="s">
        <v>64</v>
      </c>
      <c r="B54" s="11" t="s">
        <v>44</v>
      </c>
      <c r="C54" s="11" t="s">
        <v>65</v>
      </c>
      <c r="D54" s="22">
        <v>878.13</v>
      </c>
      <c r="E54" s="21">
        <v>1727.18</v>
      </c>
      <c r="F54" s="21">
        <v>1237.28</v>
      </c>
      <c r="G54" s="22">
        <v>495.56</v>
      </c>
      <c r="H54" s="22">
        <v>149.76</v>
      </c>
      <c r="O54">
        <f>O53*8760</f>
        <v>17195.88</v>
      </c>
      <c r="P54" t="s">
        <v>383</v>
      </c>
    </row>
    <row r="55" spans="1:18" x14ac:dyDescent="0.45">
      <c r="A55" s="11" t="s">
        <v>66</v>
      </c>
      <c r="B55" s="11" t="s">
        <v>46</v>
      </c>
      <c r="C55" s="11" t="s">
        <v>63</v>
      </c>
      <c r="D55" s="22">
        <v>184.6</v>
      </c>
      <c r="E55" s="22">
        <v>198.3</v>
      </c>
      <c r="F55" s="22">
        <v>145.12</v>
      </c>
      <c r="G55" s="22">
        <v>22.03</v>
      </c>
      <c r="H55" s="22">
        <v>3.73</v>
      </c>
    </row>
    <row r="56" spans="1:18" x14ac:dyDescent="0.45">
      <c r="A56" s="11" t="s">
        <v>67</v>
      </c>
      <c r="B56" s="11" t="s">
        <v>46</v>
      </c>
      <c r="C56" s="11" t="s">
        <v>47</v>
      </c>
      <c r="D56" s="21">
        <v>1138.06</v>
      </c>
      <c r="E56" s="21">
        <v>1122.8399999999999</v>
      </c>
      <c r="F56" s="21">
        <v>1017.26</v>
      </c>
      <c r="G56" s="22">
        <v>563.13</v>
      </c>
      <c r="H56" s="22">
        <v>346.32</v>
      </c>
    </row>
    <row r="57" spans="1:18" x14ac:dyDescent="0.45">
      <c r="A57" s="11" t="s">
        <v>68</v>
      </c>
      <c r="B57" s="11" t="s">
        <v>46</v>
      </c>
      <c r="C57" s="11" t="s">
        <v>47</v>
      </c>
      <c r="D57" s="22">
        <v>563.03</v>
      </c>
      <c r="E57" s="22">
        <v>785.9</v>
      </c>
      <c r="F57" s="22">
        <v>880.33</v>
      </c>
      <c r="G57" s="22">
        <v>716.78</v>
      </c>
      <c r="H57" s="22">
        <v>108.37</v>
      </c>
    </row>
    <row r="58" spans="1:18" x14ac:dyDescent="0.45">
      <c r="A58" s="11" t="s">
        <v>69</v>
      </c>
      <c r="B58" s="11" t="s">
        <v>44</v>
      </c>
      <c r="C58" s="11" t="s">
        <v>63</v>
      </c>
      <c r="D58" s="21">
        <v>7546.99</v>
      </c>
      <c r="E58" s="21">
        <v>6793.11</v>
      </c>
      <c r="F58" s="21">
        <v>5196.6000000000004</v>
      </c>
      <c r="G58" s="22">
        <v>814.43</v>
      </c>
      <c r="H58" s="22">
        <v>32.380000000000003</v>
      </c>
    </row>
    <row r="59" spans="1:18" x14ac:dyDescent="0.45">
      <c r="A59" s="11" t="s">
        <v>70</v>
      </c>
      <c r="B59" s="11" t="s">
        <v>46</v>
      </c>
      <c r="C59" s="11" t="s">
        <v>71</v>
      </c>
      <c r="D59" s="21">
        <v>6757</v>
      </c>
      <c r="E59" s="21">
        <v>7524</v>
      </c>
      <c r="F59" s="21">
        <v>7436.76</v>
      </c>
      <c r="G59" s="21">
        <v>4959.3999999999996</v>
      </c>
      <c r="H59" s="21">
        <v>3476.67</v>
      </c>
    </row>
    <row r="60" spans="1:18" x14ac:dyDescent="0.45">
      <c r="A60" s="11" t="s">
        <v>72</v>
      </c>
      <c r="B60" s="11" t="s">
        <v>44</v>
      </c>
      <c r="C60" s="11" t="s">
        <v>63</v>
      </c>
      <c r="D60" s="22">
        <v>877.41</v>
      </c>
      <c r="E60" s="22">
        <v>816.83</v>
      </c>
      <c r="F60" s="22">
        <v>645.4</v>
      </c>
      <c r="G60" s="22">
        <v>387.44</v>
      </c>
      <c r="H60" s="22">
        <v>363.86</v>
      </c>
    </row>
    <row r="61" spans="1:18" x14ac:dyDescent="0.45">
      <c r="A61" s="11" t="s">
        <v>73</v>
      </c>
      <c r="B61" s="11" t="s">
        <v>46</v>
      </c>
      <c r="C61" s="11" t="s">
        <v>47</v>
      </c>
      <c r="D61" s="21">
        <v>2970.66</v>
      </c>
      <c r="E61" s="21">
        <v>2459.69</v>
      </c>
      <c r="F61" s="21">
        <v>2591.64</v>
      </c>
      <c r="G61" s="21">
        <v>1035.8499999999999</v>
      </c>
      <c r="H61" s="22">
        <v>217.53</v>
      </c>
    </row>
    <row r="62" spans="1:18" x14ac:dyDescent="0.45">
      <c r="A62" s="11" t="s">
        <v>74</v>
      </c>
      <c r="B62" s="11" t="s">
        <v>44</v>
      </c>
      <c r="C62" s="11" t="s">
        <v>63</v>
      </c>
      <c r="D62" s="22">
        <v>70.59</v>
      </c>
      <c r="E62" s="22">
        <v>510.46</v>
      </c>
      <c r="F62" s="22">
        <v>465.88</v>
      </c>
      <c r="G62" s="22">
        <v>225.41</v>
      </c>
      <c r="H62" s="22">
        <v>50.83</v>
      </c>
    </row>
    <row r="63" spans="1:18" x14ac:dyDescent="0.45">
      <c r="A63" s="11" t="s">
        <v>75</v>
      </c>
      <c r="B63" s="11" t="s">
        <v>46</v>
      </c>
      <c r="C63" s="11" t="s">
        <v>47</v>
      </c>
      <c r="D63" s="21">
        <v>1491.36</v>
      </c>
      <c r="E63" s="21">
        <v>1430.23</v>
      </c>
      <c r="F63" s="21">
        <v>1041.56</v>
      </c>
      <c r="G63" s="21">
        <v>1307.6099999999999</v>
      </c>
      <c r="H63" s="22">
        <v>896.74</v>
      </c>
    </row>
    <row r="64" spans="1:18" x14ac:dyDescent="0.45">
      <c r="A64" s="11" t="s">
        <v>76</v>
      </c>
      <c r="B64" s="11" t="s">
        <v>46</v>
      </c>
      <c r="C64" s="11" t="s">
        <v>47</v>
      </c>
      <c r="D64" s="21">
        <v>4213.96</v>
      </c>
      <c r="E64" s="21">
        <v>4406.4399999999996</v>
      </c>
      <c r="F64" s="21">
        <v>4442.99</v>
      </c>
      <c r="G64" s="21">
        <v>3895.85</v>
      </c>
      <c r="H64" s="21">
        <v>4087.33</v>
      </c>
    </row>
    <row r="65" spans="1:8" x14ac:dyDescent="0.45">
      <c r="A65" s="11" t="s">
        <v>77</v>
      </c>
      <c r="B65" s="11" t="s">
        <v>44</v>
      </c>
      <c r="C65" s="11" t="s">
        <v>63</v>
      </c>
      <c r="D65" s="21">
        <v>1179.3</v>
      </c>
      <c r="E65" s="21">
        <v>1135.4100000000001</v>
      </c>
      <c r="F65" s="22">
        <v>912.45</v>
      </c>
      <c r="G65" s="22">
        <v>532.17999999999995</v>
      </c>
      <c r="H65" s="22">
        <v>320.95999999999998</v>
      </c>
    </row>
    <row r="66" spans="1:8" x14ac:dyDescent="0.45">
      <c r="A66" s="11" t="s">
        <v>78</v>
      </c>
      <c r="B66" s="11" t="s">
        <v>44</v>
      </c>
      <c r="C66" s="11" t="s">
        <v>63</v>
      </c>
      <c r="D66" s="21">
        <v>1320.46</v>
      </c>
      <c r="E66" s="21">
        <v>1336.9</v>
      </c>
      <c r="F66" s="21">
        <v>1246.45</v>
      </c>
      <c r="G66" s="22">
        <v>691.3</v>
      </c>
      <c r="H66" s="22">
        <v>259.33</v>
      </c>
    </row>
    <row r="67" spans="1:8" x14ac:dyDescent="0.45">
      <c r="A67" s="11" t="s">
        <v>79</v>
      </c>
      <c r="B67" s="11" t="s">
        <v>46</v>
      </c>
      <c r="C67" s="11" t="s">
        <v>47</v>
      </c>
      <c r="D67" s="21">
        <v>1222</v>
      </c>
      <c r="E67" s="21">
        <v>1731</v>
      </c>
      <c r="F67" s="21">
        <v>1668.42</v>
      </c>
      <c r="G67" s="21">
        <v>1385.13</v>
      </c>
      <c r="H67" s="22">
        <v>700.74</v>
      </c>
    </row>
    <row r="68" spans="1:8" x14ac:dyDescent="0.45">
      <c r="A68" s="11" t="s">
        <v>80</v>
      </c>
      <c r="B68" s="11" t="s">
        <v>46</v>
      </c>
      <c r="C68" s="11" t="s">
        <v>47</v>
      </c>
      <c r="D68" s="21">
        <v>1088.78</v>
      </c>
      <c r="E68" s="22">
        <v>905.44</v>
      </c>
      <c r="F68" s="22">
        <v>841.56</v>
      </c>
      <c r="G68" s="22">
        <v>828.2</v>
      </c>
      <c r="H68" s="22">
        <v>476.28</v>
      </c>
    </row>
    <row r="69" spans="1:8" x14ac:dyDescent="0.45">
      <c r="A69" s="11" t="s">
        <v>81</v>
      </c>
      <c r="B69" s="11" t="s">
        <v>46</v>
      </c>
      <c r="C69" s="11" t="s">
        <v>47</v>
      </c>
      <c r="D69" s="21">
        <v>1155.6199999999999</v>
      </c>
      <c r="E69" s="22">
        <v>944.68</v>
      </c>
      <c r="F69" s="22">
        <v>841.39</v>
      </c>
      <c r="G69" s="22">
        <v>877.8</v>
      </c>
      <c r="H69" s="22">
        <v>338</v>
      </c>
    </row>
    <row r="70" spans="1:8" x14ac:dyDescent="0.45">
      <c r="A70" s="11" t="s">
        <v>82</v>
      </c>
      <c r="B70" s="11" t="s">
        <v>44</v>
      </c>
      <c r="C70" s="11" t="s">
        <v>63</v>
      </c>
      <c r="D70" s="21">
        <v>1272.1600000000001</v>
      </c>
      <c r="E70" s="21">
        <v>1239.76</v>
      </c>
      <c r="F70" s="21">
        <v>1171.19</v>
      </c>
      <c r="G70" s="22">
        <v>675.1</v>
      </c>
      <c r="H70" s="22">
        <v>277.45999999999998</v>
      </c>
    </row>
    <row r="71" spans="1:8" x14ac:dyDescent="0.45">
      <c r="A71" s="11" t="s">
        <v>83</v>
      </c>
      <c r="B71" s="11" t="s">
        <v>44</v>
      </c>
      <c r="C71" s="11" t="s">
        <v>63</v>
      </c>
      <c r="D71" s="21">
        <v>1240.1600000000001</v>
      </c>
      <c r="E71" s="21">
        <v>1350.33</v>
      </c>
      <c r="F71" s="21">
        <v>1099.67</v>
      </c>
      <c r="G71" s="22">
        <v>599.74</v>
      </c>
      <c r="H71" s="22">
        <v>351.23</v>
      </c>
    </row>
    <row r="72" spans="1:8" x14ac:dyDescent="0.45">
      <c r="A72" s="11" t="s">
        <v>84</v>
      </c>
      <c r="B72" s="11" t="s">
        <v>46</v>
      </c>
      <c r="C72" s="11" t="s">
        <v>47</v>
      </c>
      <c r="D72" s="21">
        <v>1056.42</v>
      </c>
      <c r="E72" s="22">
        <v>989.71</v>
      </c>
      <c r="F72" s="22">
        <v>814.96</v>
      </c>
      <c r="G72" s="22">
        <v>808.51</v>
      </c>
      <c r="H72" s="22">
        <v>296.76</v>
      </c>
    </row>
    <row r="73" spans="1:8" x14ac:dyDescent="0.45">
      <c r="A73" s="11" t="s">
        <v>85</v>
      </c>
      <c r="B73" s="11" t="s">
        <v>46</v>
      </c>
      <c r="C73" s="11" t="s">
        <v>47</v>
      </c>
      <c r="D73" s="22">
        <v>916</v>
      </c>
      <c r="E73" s="22">
        <v>553</v>
      </c>
      <c r="F73" s="22">
        <v>871.01</v>
      </c>
      <c r="G73" s="22">
        <v>612.91</v>
      </c>
      <c r="H73" s="22">
        <v>347.69</v>
      </c>
    </row>
    <row r="74" spans="1:8" x14ac:dyDescent="0.45">
      <c r="A74" s="11" t="s">
        <v>86</v>
      </c>
      <c r="B74" s="11" t="s">
        <v>44</v>
      </c>
      <c r="C74" s="11" t="s">
        <v>63</v>
      </c>
      <c r="D74" s="21">
        <v>1161.9100000000001</v>
      </c>
      <c r="E74" s="21">
        <v>1334.18</v>
      </c>
      <c r="F74" s="21">
        <v>1199.68</v>
      </c>
      <c r="G74" s="22">
        <v>636.13</v>
      </c>
      <c r="H74" s="22">
        <v>338.08</v>
      </c>
    </row>
    <row r="75" spans="1:8" x14ac:dyDescent="0.45">
      <c r="A75" s="11" t="s">
        <v>87</v>
      </c>
      <c r="B75" s="11" t="s">
        <v>44</v>
      </c>
      <c r="C75" s="11" t="s">
        <v>63</v>
      </c>
      <c r="D75" s="21">
        <v>1277.44</v>
      </c>
      <c r="E75" s="21">
        <v>1369.33</v>
      </c>
      <c r="F75" s="21">
        <v>1175.6099999999999</v>
      </c>
      <c r="G75" s="22">
        <v>776.26</v>
      </c>
      <c r="H75" s="22">
        <v>458.54</v>
      </c>
    </row>
    <row r="76" spans="1:8" x14ac:dyDescent="0.45">
      <c r="A76" s="11" t="s">
        <v>88</v>
      </c>
      <c r="B76" s="11" t="s">
        <v>46</v>
      </c>
      <c r="C76" s="11" t="s">
        <v>63</v>
      </c>
      <c r="D76" s="21">
        <v>1211.48</v>
      </c>
      <c r="E76" s="21">
        <v>1382.85</v>
      </c>
      <c r="F76" s="21">
        <v>1392.39</v>
      </c>
      <c r="G76" s="21">
        <v>1330.6</v>
      </c>
      <c r="H76" s="22">
        <v>777.3</v>
      </c>
    </row>
    <row r="77" spans="1:8" x14ac:dyDescent="0.45">
      <c r="A77" s="11" t="s">
        <v>89</v>
      </c>
      <c r="B77" s="11" t="s">
        <v>46</v>
      </c>
      <c r="C77" s="11" t="s">
        <v>63</v>
      </c>
      <c r="D77" s="22">
        <v>74</v>
      </c>
      <c r="E77" s="22">
        <v>61.05</v>
      </c>
      <c r="F77" s="22">
        <v>8.82</v>
      </c>
      <c r="G77" s="22">
        <v>0</v>
      </c>
      <c r="H77" s="22">
        <v>0</v>
      </c>
    </row>
    <row r="78" spans="1:8" x14ac:dyDescent="0.45">
      <c r="A78" s="11" t="s">
        <v>90</v>
      </c>
      <c r="B78" s="11" t="s">
        <v>91</v>
      </c>
      <c r="C78" s="11" t="s">
        <v>63</v>
      </c>
      <c r="D78" s="21">
        <v>2332.81</v>
      </c>
      <c r="E78" s="21">
        <v>2731.34</v>
      </c>
      <c r="F78" s="21">
        <v>2593.04</v>
      </c>
      <c r="G78" s="21">
        <v>3018.37</v>
      </c>
      <c r="H78" s="21">
        <v>2148.02</v>
      </c>
    </row>
    <row r="79" spans="1:8" x14ac:dyDescent="0.45">
      <c r="A79" s="11" t="s">
        <v>92</v>
      </c>
      <c r="B79" s="11" t="s">
        <v>93</v>
      </c>
      <c r="C79" s="11" t="s">
        <v>63</v>
      </c>
      <c r="D79" s="11"/>
      <c r="E79" s="22">
        <v>873.17</v>
      </c>
      <c r="F79" s="21">
        <v>8461.59</v>
      </c>
      <c r="G79" s="21">
        <v>8220.07</v>
      </c>
      <c r="H79" s="21">
        <v>6167.19</v>
      </c>
    </row>
    <row r="80" spans="1:8" x14ac:dyDescent="0.45">
      <c r="A80" s="11" t="s">
        <v>94</v>
      </c>
      <c r="B80" s="11" t="s">
        <v>95</v>
      </c>
      <c r="C80" s="11" t="s">
        <v>47</v>
      </c>
      <c r="D80" s="11"/>
      <c r="E80" s="22">
        <v>502.77</v>
      </c>
      <c r="F80" s="21">
        <v>3655.62</v>
      </c>
      <c r="G80" s="21">
        <v>6149.75</v>
      </c>
      <c r="H80" s="21">
        <v>5192.5</v>
      </c>
    </row>
    <row r="81" spans="1:17" x14ac:dyDescent="0.45">
      <c r="A81" s="11" t="s">
        <v>96</v>
      </c>
      <c r="B81" s="11" t="s">
        <v>95</v>
      </c>
      <c r="C81" s="11" t="s">
        <v>47</v>
      </c>
      <c r="D81" s="11"/>
      <c r="E81" s="22">
        <v>155.11000000000001</v>
      </c>
      <c r="F81" s="21">
        <v>2856.73</v>
      </c>
      <c r="G81" s="21">
        <v>7027.24</v>
      </c>
      <c r="H81" s="21">
        <v>7050.34</v>
      </c>
    </row>
    <row r="82" spans="1:17" x14ac:dyDescent="0.45">
      <c r="A82" s="11" t="s">
        <v>97</v>
      </c>
      <c r="B82" s="11" t="s">
        <v>95</v>
      </c>
      <c r="C82" s="11" t="s">
        <v>47</v>
      </c>
      <c r="D82" s="11"/>
      <c r="E82" s="11" t="s">
        <v>63</v>
      </c>
      <c r="F82" s="21">
        <v>2050.62</v>
      </c>
      <c r="G82" s="21">
        <v>5284.19</v>
      </c>
      <c r="H82" s="21">
        <v>5911.84</v>
      </c>
    </row>
    <row r="83" spans="1:17" x14ac:dyDescent="0.45">
      <c r="A83" s="11" t="s">
        <v>98</v>
      </c>
      <c r="B83" s="11" t="s">
        <v>93</v>
      </c>
      <c r="C83" s="11" t="s">
        <v>47</v>
      </c>
      <c r="D83" s="11"/>
      <c r="E83" s="11" t="s">
        <v>63</v>
      </c>
      <c r="F83" s="21">
        <v>3319.02</v>
      </c>
      <c r="G83" s="21">
        <v>7553.64</v>
      </c>
      <c r="H83" s="21">
        <v>8969.74</v>
      </c>
    </row>
    <row r="84" spans="1:17" x14ac:dyDescent="0.45">
      <c r="A84" s="11" t="s">
        <v>99</v>
      </c>
      <c r="B84" s="11" t="s">
        <v>100</v>
      </c>
      <c r="C84" s="11" t="s">
        <v>63</v>
      </c>
      <c r="D84" s="11"/>
      <c r="E84" s="11" t="s">
        <v>63</v>
      </c>
      <c r="F84" s="22">
        <v>60.86</v>
      </c>
      <c r="G84" s="22">
        <v>15.11</v>
      </c>
      <c r="H84" s="22">
        <v>2.0699999999999998</v>
      </c>
    </row>
    <row r="85" spans="1:17" x14ac:dyDescent="0.45">
      <c r="A85" s="11" t="s">
        <v>101</v>
      </c>
      <c r="B85" s="11" t="s">
        <v>100</v>
      </c>
      <c r="C85" s="11" t="s">
        <v>63</v>
      </c>
      <c r="D85" s="11"/>
      <c r="E85" s="11" t="s">
        <v>63</v>
      </c>
      <c r="F85" s="22">
        <v>2.78</v>
      </c>
      <c r="G85" s="22">
        <v>0</v>
      </c>
      <c r="H85" s="22">
        <v>0</v>
      </c>
    </row>
    <row r="86" spans="1:17" x14ac:dyDescent="0.45">
      <c r="A86" s="11" t="s">
        <v>102</v>
      </c>
      <c r="B86" s="11" t="s">
        <v>103</v>
      </c>
      <c r="C86" s="11" t="s">
        <v>63</v>
      </c>
      <c r="D86" s="11"/>
      <c r="E86" s="11" t="s">
        <v>63</v>
      </c>
      <c r="F86" s="11" t="s">
        <v>63</v>
      </c>
      <c r="G86" s="22">
        <v>260.82</v>
      </c>
      <c r="H86" s="21">
        <v>6136.2</v>
      </c>
    </row>
    <row r="87" spans="1:17" x14ac:dyDescent="0.45">
      <c r="A87" s="11" t="s">
        <v>104</v>
      </c>
      <c r="B87" s="11" t="s">
        <v>105</v>
      </c>
      <c r="C87" s="11" t="s">
        <v>63</v>
      </c>
      <c r="D87" s="11"/>
      <c r="E87" s="11" t="s">
        <v>63</v>
      </c>
      <c r="F87" s="11" t="s">
        <v>63</v>
      </c>
      <c r="G87" s="22">
        <v>277.42</v>
      </c>
      <c r="H87" s="21">
        <v>4280.22</v>
      </c>
    </row>
    <row r="88" spans="1:17" x14ac:dyDescent="0.45">
      <c r="A88" s="26" t="s">
        <v>106</v>
      </c>
      <c r="B88" s="24"/>
      <c r="C88" s="24"/>
      <c r="D88" s="27">
        <v>45146.42</v>
      </c>
      <c r="E88" s="27">
        <v>47972.1</v>
      </c>
      <c r="F88" s="27">
        <v>62433.73</v>
      </c>
      <c r="G88" s="27">
        <v>62597.73</v>
      </c>
      <c r="H88" s="27">
        <v>60720.31</v>
      </c>
    </row>
    <row r="89" spans="1:17" x14ac:dyDescent="0.45">
      <c r="A89" s="12" t="s">
        <v>107</v>
      </c>
      <c r="B89" s="13"/>
      <c r="C89" s="13"/>
      <c r="D89" s="13"/>
      <c r="E89" s="13"/>
      <c r="F89" s="13"/>
      <c r="G89" s="13"/>
      <c r="H89" s="14"/>
      <c r="Q89" t="s">
        <v>391</v>
      </c>
    </row>
    <row r="90" spans="1:17" x14ac:dyDescent="0.45">
      <c r="A90" s="11" t="s">
        <v>108</v>
      </c>
      <c r="B90" s="11" t="s">
        <v>109</v>
      </c>
      <c r="C90" s="11" t="s">
        <v>109</v>
      </c>
      <c r="D90" s="21">
        <v>1486</v>
      </c>
      <c r="E90" s="21">
        <v>2118</v>
      </c>
      <c r="F90" s="21">
        <v>2433.42</v>
      </c>
      <c r="G90" s="21">
        <v>2141.02</v>
      </c>
      <c r="H90" s="21">
        <v>2044.64</v>
      </c>
      <c r="J90" t="s">
        <v>376</v>
      </c>
      <c r="K90" t="s">
        <v>396</v>
      </c>
      <c r="L90" t="s">
        <v>378</v>
      </c>
      <c r="M90" t="s">
        <v>379</v>
      </c>
      <c r="N90" t="s">
        <v>380</v>
      </c>
      <c r="O90">
        <v>1.0669</v>
      </c>
      <c r="P90" t="s">
        <v>381</v>
      </c>
      <c r="Q90">
        <f>H95/8760</f>
        <v>1.1298961187214611</v>
      </c>
    </row>
    <row r="91" spans="1:17" x14ac:dyDescent="0.45">
      <c r="A91" s="11" t="s">
        <v>110</v>
      </c>
      <c r="B91" s="11" t="s">
        <v>109</v>
      </c>
      <c r="C91" s="11" t="s">
        <v>109</v>
      </c>
      <c r="D91" s="21">
        <v>2368</v>
      </c>
      <c r="E91" s="21">
        <v>2315</v>
      </c>
      <c r="F91" s="21">
        <v>2301.7399999999998</v>
      </c>
      <c r="G91" s="21">
        <v>2262.73</v>
      </c>
      <c r="H91" s="21">
        <v>2636.12</v>
      </c>
      <c r="O91">
        <f>O90*8760</f>
        <v>9346.0439999999999</v>
      </c>
      <c r="P91" t="s">
        <v>383</v>
      </c>
    </row>
    <row r="92" spans="1:17" x14ac:dyDescent="0.45">
      <c r="A92" s="11" t="s">
        <v>111</v>
      </c>
      <c r="B92" s="11" t="s">
        <v>109</v>
      </c>
      <c r="C92" s="11" t="s">
        <v>109</v>
      </c>
      <c r="D92" s="11" t="s">
        <v>63</v>
      </c>
      <c r="E92" s="21">
        <v>1435</v>
      </c>
      <c r="F92" s="21">
        <v>2246.5500000000002</v>
      </c>
      <c r="G92" s="21">
        <v>2484.34</v>
      </c>
      <c r="H92" s="21">
        <v>2322.85</v>
      </c>
    </row>
    <row r="93" spans="1:17" x14ac:dyDescent="0.45">
      <c r="A93" s="11" t="s">
        <v>112</v>
      </c>
      <c r="B93" s="11" t="s">
        <v>109</v>
      </c>
      <c r="C93" s="11" t="s">
        <v>109</v>
      </c>
      <c r="D93" s="11" t="s">
        <v>63</v>
      </c>
      <c r="E93" s="11" t="s">
        <v>63</v>
      </c>
      <c r="F93" s="21">
        <v>1738.16</v>
      </c>
      <c r="G93" s="21">
        <v>2117.59</v>
      </c>
      <c r="H93" s="21">
        <v>2701.28</v>
      </c>
    </row>
    <row r="94" spans="1:17" x14ac:dyDescent="0.45">
      <c r="A94" s="11" t="s">
        <v>113</v>
      </c>
      <c r="B94" s="11" t="s">
        <v>109</v>
      </c>
      <c r="C94" s="11" t="s">
        <v>109</v>
      </c>
      <c r="D94" s="22">
        <v>362</v>
      </c>
      <c r="E94" s="22">
        <v>410</v>
      </c>
      <c r="F94" s="22">
        <v>330.86</v>
      </c>
      <c r="G94" s="22">
        <v>129.99</v>
      </c>
      <c r="H94" s="22">
        <v>193</v>
      </c>
    </row>
    <row r="95" spans="1:17" x14ac:dyDescent="0.45">
      <c r="A95" s="26" t="s">
        <v>114</v>
      </c>
      <c r="B95" s="24"/>
      <c r="C95" s="24"/>
      <c r="D95" s="27">
        <v>4216</v>
      </c>
      <c r="E95" s="27">
        <v>6278</v>
      </c>
      <c r="F95" s="27">
        <v>9050.73</v>
      </c>
      <c r="G95" s="27">
        <v>9135.67</v>
      </c>
      <c r="H95" s="27">
        <v>9897.89</v>
      </c>
    </row>
    <row r="96" spans="1:17" x14ac:dyDescent="0.45">
      <c r="A96" s="20" t="s">
        <v>115</v>
      </c>
      <c r="B96" s="13"/>
      <c r="C96" s="13"/>
      <c r="D96" s="13"/>
      <c r="E96" s="13"/>
      <c r="F96" s="13"/>
      <c r="G96" s="13"/>
      <c r="H96" s="14"/>
    </row>
    <row r="97" spans="1:17" x14ac:dyDescent="0.45">
      <c r="A97" s="11" t="s">
        <v>116</v>
      </c>
      <c r="B97" s="11"/>
      <c r="C97" s="11"/>
      <c r="D97" s="22">
        <v>463</v>
      </c>
      <c r="E97" s="22">
        <v>496</v>
      </c>
      <c r="F97" s="22">
        <v>554.74</v>
      </c>
      <c r="G97" s="22">
        <v>486.8</v>
      </c>
      <c r="H97" s="22">
        <v>513.74</v>
      </c>
      <c r="J97" t="s">
        <v>376</v>
      </c>
      <c r="K97" t="s">
        <v>397</v>
      </c>
      <c r="L97" t="s">
        <v>387</v>
      </c>
      <c r="M97" t="s">
        <v>379</v>
      </c>
      <c r="N97" t="s">
        <v>380</v>
      </c>
      <c r="O97">
        <v>0.46639864965263922</v>
      </c>
      <c r="P97" t="s">
        <v>381</v>
      </c>
      <c r="Q97" t="s">
        <v>391</v>
      </c>
    </row>
    <row r="98" spans="1:17" x14ac:dyDescent="0.45">
      <c r="A98" s="26" t="s">
        <v>117</v>
      </c>
      <c r="B98" s="24"/>
      <c r="C98" s="24"/>
      <c r="D98" s="28">
        <v>463</v>
      </c>
      <c r="E98" s="28">
        <v>496</v>
      </c>
      <c r="F98" s="28">
        <v>554.74</v>
      </c>
      <c r="G98" s="28">
        <v>486.8</v>
      </c>
      <c r="H98" s="28">
        <v>513.74</v>
      </c>
      <c r="O98" s="68">
        <f>O97*8760</f>
        <v>4085.6521709571198</v>
      </c>
      <c r="Q98">
        <f>H98/8760</f>
        <v>5.8646118721461186E-2</v>
      </c>
    </row>
    <row r="99" spans="1:17" x14ac:dyDescent="0.45">
      <c r="A99" s="12" t="s">
        <v>118</v>
      </c>
      <c r="B99" s="13"/>
      <c r="C99" s="13"/>
      <c r="D99" s="13"/>
      <c r="E99" s="13"/>
      <c r="F99" s="13"/>
      <c r="G99" s="13"/>
      <c r="H99" s="14"/>
    </row>
    <row r="100" spans="1:17" x14ac:dyDescent="0.45">
      <c r="A100" s="12" t="s">
        <v>119</v>
      </c>
      <c r="B100" s="13"/>
      <c r="C100" s="13"/>
      <c r="D100" s="13"/>
      <c r="E100" s="13"/>
      <c r="F100" s="13"/>
      <c r="G100" s="13"/>
      <c r="H100" s="14"/>
    </row>
    <row r="101" spans="1:17" x14ac:dyDescent="0.45">
      <c r="A101" s="11" t="s">
        <v>120</v>
      </c>
      <c r="B101" s="11" t="s">
        <v>121</v>
      </c>
      <c r="C101" s="11" t="s">
        <v>121</v>
      </c>
      <c r="D101" s="22">
        <v>105</v>
      </c>
      <c r="E101" s="22">
        <v>153</v>
      </c>
      <c r="F101" s="22">
        <v>142.08000000000001</v>
      </c>
      <c r="G101" s="22">
        <v>143.96</v>
      </c>
      <c r="H101" s="22">
        <v>143.55000000000001</v>
      </c>
      <c r="Q101" t="s">
        <v>402</v>
      </c>
    </row>
    <row r="102" spans="1:17" x14ac:dyDescent="0.45">
      <c r="A102" s="11" t="s">
        <v>122</v>
      </c>
      <c r="B102" s="11" t="s">
        <v>121</v>
      </c>
      <c r="C102" s="11" t="s">
        <v>121</v>
      </c>
      <c r="D102" s="22">
        <v>125</v>
      </c>
      <c r="E102" s="22">
        <v>123</v>
      </c>
      <c r="F102" s="22">
        <v>120.08</v>
      </c>
      <c r="G102" s="22">
        <v>115.74</v>
      </c>
      <c r="H102" s="22">
        <v>118.4</v>
      </c>
      <c r="J102" t="s">
        <v>376</v>
      </c>
      <c r="K102" t="s">
        <v>398</v>
      </c>
      <c r="L102" t="s">
        <v>378</v>
      </c>
      <c r="M102" t="s">
        <v>379</v>
      </c>
      <c r="N102" t="s">
        <v>380</v>
      </c>
      <c r="O102">
        <v>6.8493000000000004E-4</v>
      </c>
      <c r="P102" t="s">
        <v>381</v>
      </c>
    </row>
    <row r="103" spans="1:17" x14ac:dyDescent="0.45">
      <c r="A103" s="11" t="s">
        <v>123</v>
      </c>
      <c r="B103" s="11" t="s">
        <v>121</v>
      </c>
      <c r="C103" s="11" t="s">
        <v>121</v>
      </c>
      <c r="D103" s="22">
        <v>135</v>
      </c>
      <c r="E103" s="22">
        <v>138</v>
      </c>
      <c r="F103" s="22">
        <v>126.06</v>
      </c>
      <c r="G103" s="22">
        <v>129.21</v>
      </c>
      <c r="H103" s="22">
        <v>135.62</v>
      </c>
      <c r="J103" t="s">
        <v>376</v>
      </c>
      <c r="K103" t="s">
        <v>399</v>
      </c>
      <c r="L103" t="s">
        <v>378</v>
      </c>
      <c r="M103" t="s">
        <v>379</v>
      </c>
      <c r="N103" t="s">
        <v>380</v>
      </c>
      <c r="O103">
        <v>7.0293380000000003E-2</v>
      </c>
      <c r="P103" t="s">
        <v>381</v>
      </c>
    </row>
    <row r="104" spans="1:17" x14ac:dyDescent="0.45">
      <c r="A104" s="11" t="s">
        <v>124</v>
      </c>
      <c r="B104" s="11" t="s">
        <v>121</v>
      </c>
      <c r="C104" s="11" t="s">
        <v>121</v>
      </c>
      <c r="D104" s="22">
        <v>110</v>
      </c>
      <c r="E104" s="22">
        <v>109</v>
      </c>
      <c r="F104" s="22">
        <v>96.35</v>
      </c>
      <c r="G104" s="29">
        <v>229.31</v>
      </c>
      <c r="H104" s="29">
        <v>239.29</v>
      </c>
      <c r="J104" t="s">
        <v>376</v>
      </c>
      <c r="K104" t="s">
        <v>400</v>
      </c>
      <c r="L104" t="s">
        <v>378</v>
      </c>
      <c r="M104" t="s">
        <v>379</v>
      </c>
      <c r="N104" t="s">
        <v>380</v>
      </c>
      <c r="O104">
        <v>0.25807191831050202</v>
      </c>
      <c r="P104" t="s">
        <v>381</v>
      </c>
      <c r="Q104">
        <f>O107-O103-O102</f>
        <v>0.2580719183105023</v>
      </c>
    </row>
    <row r="105" spans="1:17" x14ac:dyDescent="0.45">
      <c r="A105" s="11" t="s">
        <v>125</v>
      </c>
      <c r="B105" s="11" t="s">
        <v>121</v>
      </c>
      <c r="C105" s="11" t="s">
        <v>121</v>
      </c>
      <c r="D105" s="22">
        <v>116</v>
      </c>
      <c r="E105" s="22">
        <v>120</v>
      </c>
      <c r="F105" s="22">
        <v>112.3</v>
      </c>
      <c r="G105" s="30"/>
      <c r="H105" s="30"/>
      <c r="O105">
        <f>SUM(O102:O104)</f>
        <v>0.32905022831050201</v>
      </c>
      <c r="P105" t="s">
        <v>381</v>
      </c>
    </row>
    <row r="106" spans="1:17" x14ac:dyDescent="0.45">
      <c r="A106" s="11" t="s">
        <v>126</v>
      </c>
      <c r="B106" s="11" t="s">
        <v>121</v>
      </c>
      <c r="C106" s="11" t="s">
        <v>121</v>
      </c>
      <c r="D106" s="22">
        <v>100</v>
      </c>
      <c r="E106" s="22">
        <v>149</v>
      </c>
      <c r="F106" s="22">
        <v>125.94</v>
      </c>
      <c r="G106" s="22">
        <v>135</v>
      </c>
      <c r="H106" s="22">
        <v>89.7</v>
      </c>
      <c r="O106">
        <f>O105*8760</f>
        <v>2882.4799999999977</v>
      </c>
      <c r="P106" t="s">
        <v>383</v>
      </c>
    </row>
    <row r="107" spans="1:17" x14ac:dyDescent="0.45">
      <c r="A107" s="11" t="s">
        <v>127</v>
      </c>
      <c r="B107" s="11" t="s">
        <v>121</v>
      </c>
      <c r="C107" s="11" t="s">
        <v>121</v>
      </c>
      <c r="D107" s="11" t="s">
        <v>128</v>
      </c>
      <c r="E107" s="22">
        <v>101</v>
      </c>
      <c r="F107" s="22">
        <v>127.4</v>
      </c>
      <c r="G107" s="22">
        <v>128.69</v>
      </c>
      <c r="H107" s="22">
        <v>89.86</v>
      </c>
      <c r="N107" t="s">
        <v>401</v>
      </c>
      <c r="O107">
        <f>H125/8760</f>
        <v>0.32905022831050229</v>
      </c>
    </row>
    <row r="108" spans="1:17" x14ac:dyDescent="0.45">
      <c r="A108" s="11" t="s">
        <v>129</v>
      </c>
      <c r="B108" s="11" t="s">
        <v>121</v>
      </c>
      <c r="C108" s="11" t="s">
        <v>121</v>
      </c>
      <c r="D108" s="11" t="s">
        <v>128</v>
      </c>
      <c r="E108" s="22">
        <v>77</v>
      </c>
      <c r="F108" s="22">
        <v>136.31</v>
      </c>
      <c r="G108" s="22">
        <v>138.46</v>
      </c>
      <c r="H108" s="22">
        <v>153.06</v>
      </c>
    </row>
    <row r="109" spans="1:17" x14ac:dyDescent="0.45">
      <c r="A109" s="11" t="s">
        <v>130</v>
      </c>
      <c r="B109" s="11" t="s">
        <v>121</v>
      </c>
      <c r="C109" s="11" t="s">
        <v>121</v>
      </c>
      <c r="D109" s="11" t="s">
        <v>128</v>
      </c>
      <c r="E109" s="22">
        <v>82</v>
      </c>
      <c r="F109" s="22">
        <v>121.8</v>
      </c>
      <c r="G109" s="22">
        <v>127.74</v>
      </c>
      <c r="H109" s="22">
        <v>91.15</v>
      </c>
    </row>
    <row r="110" spans="1:17" x14ac:dyDescent="0.45">
      <c r="A110" s="11" t="s">
        <v>131</v>
      </c>
      <c r="B110" s="11" t="s">
        <v>121</v>
      </c>
      <c r="C110" s="11" t="s">
        <v>121</v>
      </c>
      <c r="D110" s="11" t="s">
        <v>128</v>
      </c>
      <c r="E110" s="22">
        <v>82</v>
      </c>
      <c r="F110" s="22">
        <v>127.01</v>
      </c>
      <c r="G110" s="22">
        <v>135.82</v>
      </c>
      <c r="H110" s="22">
        <v>96.9</v>
      </c>
    </row>
    <row r="111" spans="1:17" x14ac:dyDescent="0.45">
      <c r="A111" s="11" t="s">
        <v>132</v>
      </c>
      <c r="B111" s="11" t="s">
        <v>121</v>
      </c>
      <c r="C111" s="11" t="s">
        <v>121</v>
      </c>
      <c r="D111" s="11" t="s">
        <v>128</v>
      </c>
      <c r="E111" s="22">
        <v>65</v>
      </c>
      <c r="F111" s="22">
        <v>90.18</v>
      </c>
      <c r="G111" s="22">
        <v>111.31</v>
      </c>
      <c r="H111" s="22">
        <v>125.77</v>
      </c>
    </row>
    <row r="112" spans="1:17" x14ac:dyDescent="0.45">
      <c r="A112" s="11" t="s">
        <v>133</v>
      </c>
      <c r="B112" s="11" t="s">
        <v>121</v>
      </c>
      <c r="C112" s="11" t="s">
        <v>121</v>
      </c>
      <c r="D112" s="11" t="s">
        <v>128</v>
      </c>
      <c r="E112" s="22">
        <v>40</v>
      </c>
      <c r="F112" s="22">
        <v>102.78</v>
      </c>
      <c r="G112" s="22">
        <v>115.98</v>
      </c>
      <c r="H112" s="22">
        <v>121.06</v>
      </c>
    </row>
    <row r="113" spans="1:17" x14ac:dyDescent="0.45">
      <c r="A113" s="11" t="s">
        <v>134</v>
      </c>
      <c r="B113" s="11" t="s">
        <v>121</v>
      </c>
      <c r="C113" s="11" t="s">
        <v>121</v>
      </c>
      <c r="D113" s="11" t="s">
        <v>128</v>
      </c>
      <c r="E113" s="22">
        <v>34</v>
      </c>
      <c r="F113" s="22">
        <v>127.55</v>
      </c>
      <c r="G113" s="22">
        <v>124.49</v>
      </c>
      <c r="H113" s="22">
        <v>142.36000000000001</v>
      </c>
    </row>
    <row r="114" spans="1:17" x14ac:dyDescent="0.45">
      <c r="A114" s="11" t="s">
        <v>135</v>
      </c>
      <c r="B114" s="11" t="s">
        <v>121</v>
      </c>
      <c r="C114" s="11" t="s">
        <v>121</v>
      </c>
      <c r="D114" s="11" t="s">
        <v>128</v>
      </c>
      <c r="E114" s="22">
        <v>18</v>
      </c>
      <c r="F114" s="22">
        <v>227.83</v>
      </c>
      <c r="G114" s="22">
        <v>243.99</v>
      </c>
      <c r="H114" s="22">
        <v>179.13</v>
      </c>
    </row>
    <row r="115" spans="1:17" x14ac:dyDescent="0.45">
      <c r="A115" s="11" t="s">
        <v>136</v>
      </c>
      <c r="B115" s="11" t="s">
        <v>121</v>
      </c>
      <c r="C115" s="11" t="s">
        <v>121</v>
      </c>
      <c r="D115" s="11" t="s">
        <v>128</v>
      </c>
      <c r="E115" s="22">
        <v>96</v>
      </c>
      <c r="F115" s="22">
        <v>90.3</v>
      </c>
      <c r="G115" s="22">
        <v>192.37</v>
      </c>
      <c r="H115" s="22">
        <v>132.16</v>
      </c>
    </row>
    <row r="116" spans="1:17" x14ac:dyDescent="0.45">
      <c r="A116" s="11" t="s">
        <v>137</v>
      </c>
      <c r="B116" s="11" t="s">
        <v>121</v>
      </c>
      <c r="C116" s="11" t="s">
        <v>121</v>
      </c>
      <c r="D116" s="11" t="s">
        <v>128</v>
      </c>
      <c r="E116" s="11" t="s">
        <v>128</v>
      </c>
      <c r="F116" s="22">
        <v>86.38</v>
      </c>
      <c r="G116" s="22">
        <v>89.6</v>
      </c>
      <c r="H116" s="22">
        <v>64.760000000000005</v>
      </c>
    </row>
    <row r="117" spans="1:17" x14ac:dyDescent="0.45">
      <c r="A117" s="11" t="s">
        <v>138</v>
      </c>
      <c r="B117" s="11" t="s">
        <v>121</v>
      </c>
      <c r="C117" s="11" t="s">
        <v>121</v>
      </c>
      <c r="D117" s="11" t="s">
        <v>128</v>
      </c>
      <c r="E117" s="11" t="s">
        <v>128</v>
      </c>
      <c r="F117" s="22">
        <v>68.31</v>
      </c>
      <c r="G117" s="22">
        <v>167.41</v>
      </c>
      <c r="H117" s="22">
        <v>115.45</v>
      </c>
    </row>
    <row r="118" spans="1:17" x14ac:dyDescent="0.45">
      <c r="A118" s="11" t="s">
        <v>139</v>
      </c>
      <c r="B118" s="11" t="s">
        <v>121</v>
      </c>
      <c r="C118" s="11" t="s">
        <v>121</v>
      </c>
      <c r="D118" s="11" t="s">
        <v>128</v>
      </c>
      <c r="E118" s="11" t="s">
        <v>128</v>
      </c>
      <c r="F118" s="22">
        <v>72.5</v>
      </c>
      <c r="G118" s="22">
        <v>167.06</v>
      </c>
      <c r="H118" s="22">
        <v>119.18</v>
      </c>
    </row>
    <row r="119" spans="1:17" x14ac:dyDescent="0.45">
      <c r="A119" s="11" t="s">
        <v>140</v>
      </c>
      <c r="B119" s="11" t="s">
        <v>121</v>
      </c>
      <c r="C119" s="11" t="s">
        <v>121</v>
      </c>
      <c r="D119" s="11" t="s">
        <v>128</v>
      </c>
      <c r="E119" s="11" t="s">
        <v>128</v>
      </c>
      <c r="F119" s="22">
        <v>16.48</v>
      </c>
      <c r="G119" s="22">
        <v>131.12</v>
      </c>
      <c r="H119" s="22">
        <v>92.77</v>
      </c>
    </row>
    <row r="120" spans="1:17" x14ac:dyDescent="0.45">
      <c r="A120" s="11" t="s">
        <v>141</v>
      </c>
      <c r="B120" s="11" t="s">
        <v>121</v>
      </c>
      <c r="C120" s="11" t="s">
        <v>121</v>
      </c>
      <c r="D120" s="11" t="s">
        <v>128</v>
      </c>
      <c r="E120" s="11" t="s">
        <v>128</v>
      </c>
      <c r="F120" s="22">
        <v>27.43</v>
      </c>
      <c r="G120" s="22">
        <v>134.15</v>
      </c>
      <c r="H120" s="22">
        <v>95.18</v>
      </c>
    </row>
    <row r="121" spans="1:17" x14ac:dyDescent="0.45">
      <c r="A121" s="11" t="s">
        <v>142</v>
      </c>
      <c r="B121" s="11" t="s">
        <v>121</v>
      </c>
      <c r="C121" s="11" t="s">
        <v>121</v>
      </c>
      <c r="D121" s="11" t="s">
        <v>128</v>
      </c>
      <c r="E121" s="11" t="s">
        <v>128</v>
      </c>
      <c r="F121" s="11" t="s">
        <v>128</v>
      </c>
      <c r="G121" s="22">
        <v>147.35</v>
      </c>
      <c r="H121" s="22">
        <v>124.95</v>
      </c>
    </row>
    <row r="122" spans="1:17" x14ac:dyDescent="0.45">
      <c r="A122" s="11" t="s">
        <v>143</v>
      </c>
      <c r="B122" s="11" t="s">
        <v>121</v>
      </c>
      <c r="C122" s="11" t="s">
        <v>121</v>
      </c>
      <c r="D122" s="11" t="s">
        <v>128</v>
      </c>
      <c r="E122" s="11" t="s">
        <v>128</v>
      </c>
      <c r="F122" s="11" t="s">
        <v>128</v>
      </c>
      <c r="G122" s="22">
        <v>127.24</v>
      </c>
      <c r="H122" s="22">
        <v>117.64</v>
      </c>
    </row>
    <row r="123" spans="1:17" x14ac:dyDescent="0.45">
      <c r="A123" s="11" t="s">
        <v>144</v>
      </c>
      <c r="B123" s="11" t="s">
        <v>121</v>
      </c>
      <c r="C123" s="11" t="s">
        <v>121</v>
      </c>
      <c r="D123" s="11" t="s">
        <v>128</v>
      </c>
      <c r="E123" s="11" t="s">
        <v>128</v>
      </c>
      <c r="F123" s="11" t="s">
        <v>128</v>
      </c>
      <c r="G123" s="22">
        <v>131.19</v>
      </c>
      <c r="H123" s="22">
        <v>117.47</v>
      </c>
    </row>
    <row r="124" spans="1:17" x14ac:dyDescent="0.45">
      <c r="A124" s="11" t="s">
        <v>145</v>
      </c>
      <c r="B124" s="11" t="s">
        <v>121</v>
      </c>
      <c r="C124" s="11" t="s">
        <v>121</v>
      </c>
      <c r="D124" s="11" t="s">
        <v>128</v>
      </c>
      <c r="E124" s="11" t="s">
        <v>128</v>
      </c>
      <c r="F124" s="11" t="s">
        <v>128</v>
      </c>
      <c r="G124" s="22">
        <v>64.44</v>
      </c>
      <c r="H124" s="22">
        <v>177.05</v>
      </c>
    </row>
    <row r="125" spans="1:17" ht="14.65" thickBot="1" x14ac:dyDescent="0.5">
      <c r="A125" s="26" t="s">
        <v>146</v>
      </c>
      <c r="B125" s="26" t="s">
        <v>128</v>
      </c>
      <c r="C125" s="24"/>
      <c r="D125" s="28">
        <v>691</v>
      </c>
      <c r="E125" s="27">
        <v>1387</v>
      </c>
      <c r="F125" s="27">
        <v>2145.0700000000002</v>
      </c>
      <c r="G125" s="27">
        <v>3231.64</v>
      </c>
      <c r="H125" s="27">
        <v>2882.48</v>
      </c>
    </row>
    <row r="126" spans="1:17" x14ac:dyDescent="0.45">
      <c r="A126" s="12" t="s">
        <v>147</v>
      </c>
      <c r="B126" s="13"/>
      <c r="C126" s="13"/>
      <c r="D126" s="13"/>
      <c r="E126" s="13"/>
      <c r="F126" s="13"/>
      <c r="G126" s="13"/>
      <c r="H126" s="14"/>
      <c r="J126" s="69"/>
      <c r="K126" s="70"/>
      <c r="L126" s="70"/>
      <c r="M126" s="70"/>
      <c r="N126" s="70"/>
      <c r="O126" s="70"/>
      <c r="P126" s="70"/>
      <c r="Q126" s="71" t="s">
        <v>391</v>
      </c>
    </row>
    <row r="127" spans="1:17" x14ac:dyDescent="0.45">
      <c r="A127" s="11" t="s">
        <v>148</v>
      </c>
      <c r="B127" s="11" t="s">
        <v>149</v>
      </c>
      <c r="C127" s="11" t="s">
        <v>149</v>
      </c>
      <c r="D127" s="22">
        <v>154</v>
      </c>
      <c r="E127" s="22">
        <v>158</v>
      </c>
      <c r="F127" s="22">
        <v>163.08000000000001</v>
      </c>
      <c r="G127" s="22">
        <v>164.34</v>
      </c>
      <c r="H127" s="22">
        <v>164.99</v>
      </c>
      <c r="J127" s="72" t="s">
        <v>376</v>
      </c>
      <c r="K127" s="73" t="s">
        <v>403</v>
      </c>
      <c r="L127" s="73" t="s">
        <v>378</v>
      </c>
      <c r="M127" s="73" t="s">
        <v>379</v>
      </c>
      <c r="N127" s="73" t="s">
        <v>380</v>
      </c>
      <c r="O127" s="73">
        <v>1.52169E-3</v>
      </c>
      <c r="P127" s="73" t="s">
        <v>381</v>
      </c>
      <c r="Q127" s="74"/>
    </row>
    <row r="128" spans="1:17" x14ac:dyDescent="0.45">
      <c r="A128" s="11" t="s">
        <v>150</v>
      </c>
      <c r="B128" s="11" t="s">
        <v>149</v>
      </c>
      <c r="C128" s="11" t="s">
        <v>149</v>
      </c>
      <c r="D128" s="22">
        <v>51</v>
      </c>
      <c r="E128" s="22">
        <v>145</v>
      </c>
      <c r="F128" s="22">
        <v>167.93</v>
      </c>
      <c r="G128" s="22">
        <v>166.64</v>
      </c>
      <c r="H128" s="22">
        <v>163.02000000000001</v>
      </c>
      <c r="J128" s="72" t="s">
        <v>376</v>
      </c>
      <c r="K128" s="73" t="s">
        <v>404</v>
      </c>
      <c r="L128" s="73" t="s">
        <v>378</v>
      </c>
      <c r="M128" s="73" t="s">
        <v>379</v>
      </c>
      <c r="N128" s="73" t="s">
        <v>380</v>
      </c>
      <c r="O128" s="73">
        <v>4.2041099999999998E-2</v>
      </c>
      <c r="P128" s="73" t="s">
        <v>381</v>
      </c>
      <c r="Q128" s="74"/>
    </row>
    <row r="129" spans="1:18" x14ac:dyDescent="0.45">
      <c r="A129" s="11" t="s">
        <v>151</v>
      </c>
      <c r="B129" s="11" t="s">
        <v>149</v>
      </c>
      <c r="C129" s="11" t="s">
        <v>149</v>
      </c>
      <c r="D129" s="22">
        <v>10</v>
      </c>
      <c r="E129" s="22">
        <v>166</v>
      </c>
      <c r="F129" s="22">
        <v>168.4</v>
      </c>
      <c r="G129" s="22">
        <v>165.69</v>
      </c>
      <c r="H129" s="22">
        <v>162.91999999999999</v>
      </c>
      <c r="J129" s="72" t="s">
        <v>376</v>
      </c>
      <c r="K129" s="73" t="s">
        <v>405</v>
      </c>
      <c r="L129" s="73" t="s">
        <v>378</v>
      </c>
      <c r="M129" s="73" t="s">
        <v>379</v>
      </c>
      <c r="N129" s="73" t="s">
        <v>380</v>
      </c>
      <c r="O129" s="73">
        <v>7.3600449999999998E-2</v>
      </c>
      <c r="P129" s="73" t="s">
        <v>381</v>
      </c>
      <c r="Q129" s="74"/>
    </row>
    <row r="130" spans="1:18" x14ac:dyDescent="0.45">
      <c r="A130" s="11" t="s">
        <v>152</v>
      </c>
      <c r="B130" s="11" t="s">
        <v>149</v>
      </c>
      <c r="C130" s="11" t="s">
        <v>149</v>
      </c>
      <c r="D130" s="22">
        <v>10</v>
      </c>
      <c r="E130" s="22">
        <v>166</v>
      </c>
      <c r="F130" s="22">
        <v>169.8</v>
      </c>
      <c r="G130" s="22">
        <v>167.56</v>
      </c>
      <c r="H130" s="22">
        <v>165.31</v>
      </c>
      <c r="J130" s="72"/>
      <c r="K130" s="73"/>
      <c r="L130" s="73"/>
      <c r="M130" s="73"/>
      <c r="N130" s="73"/>
      <c r="O130" s="73">
        <f>SUM(O127:O129)</f>
        <v>0.11716324</v>
      </c>
      <c r="P130" s="73" t="s">
        <v>381</v>
      </c>
      <c r="Q130" s="74"/>
    </row>
    <row r="131" spans="1:18" x14ac:dyDescent="0.45">
      <c r="A131" s="11" t="s">
        <v>153</v>
      </c>
      <c r="B131" s="11" t="s">
        <v>149</v>
      </c>
      <c r="C131" s="11" t="s">
        <v>149</v>
      </c>
      <c r="D131" s="11" t="s">
        <v>128</v>
      </c>
      <c r="E131" s="11" t="s">
        <v>128</v>
      </c>
      <c r="F131" s="22">
        <v>11.52</v>
      </c>
      <c r="G131" s="22">
        <v>18.66</v>
      </c>
      <c r="H131" s="22">
        <v>18.03</v>
      </c>
      <c r="J131" s="72"/>
      <c r="K131" s="73"/>
      <c r="L131" s="73"/>
      <c r="M131" s="73"/>
      <c r="N131" s="73"/>
      <c r="O131" s="73">
        <f>O130*8760</f>
        <v>1026.3499824</v>
      </c>
      <c r="P131" s="73" t="s">
        <v>383</v>
      </c>
      <c r="Q131" s="74"/>
    </row>
    <row r="132" spans="1:18" ht="14.65" thickBot="1" x14ac:dyDescent="0.5">
      <c r="A132" s="11" t="s">
        <v>154</v>
      </c>
      <c r="B132" s="11" t="s">
        <v>149</v>
      </c>
      <c r="C132" s="11" t="s">
        <v>149</v>
      </c>
      <c r="D132" s="11" t="s">
        <v>128</v>
      </c>
      <c r="E132" s="11" t="s">
        <v>128</v>
      </c>
      <c r="F132" s="22">
        <v>21.43</v>
      </c>
      <c r="G132" s="22">
        <v>31.63</v>
      </c>
      <c r="H132" s="22">
        <v>30.69</v>
      </c>
      <c r="J132" s="75"/>
      <c r="K132" s="76"/>
      <c r="L132" s="76"/>
      <c r="M132" s="76"/>
      <c r="N132" s="76" t="s">
        <v>401</v>
      </c>
      <c r="O132" s="76">
        <f>(H133+H169)/8760</f>
        <v>9.7941780821917818E-2</v>
      </c>
      <c r="P132" s="76" t="s">
        <v>381</v>
      </c>
      <c r="Q132" s="77"/>
    </row>
    <row r="133" spans="1:18" x14ac:dyDescent="0.45">
      <c r="A133" s="23" t="s">
        <v>155</v>
      </c>
      <c r="B133" s="23" t="s">
        <v>128</v>
      </c>
      <c r="C133" s="24"/>
      <c r="D133" s="31">
        <v>225</v>
      </c>
      <c r="E133" s="31">
        <v>635</v>
      </c>
      <c r="F133" s="31">
        <v>702.17</v>
      </c>
      <c r="G133" s="31">
        <v>714.52</v>
      </c>
      <c r="H133" s="31">
        <v>704.97</v>
      </c>
    </row>
    <row r="134" spans="1:18" x14ac:dyDescent="0.45">
      <c r="A134" s="12" t="s">
        <v>156</v>
      </c>
      <c r="B134" s="13"/>
      <c r="C134" s="13"/>
      <c r="D134" s="13"/>
      <c r="E134" s="13"/>
      <c r="F134" s="13"/>
      <c r="G134" s="13"/>
      <c r="H134" s="14"/>
      <c r="Q134" t="s">
        <v>391</v>
      </c>
    </row>
    <row r="135" spans="1:18" x14ac:dyDescent="0.45">
      <c r="A135" s="11" t="s">
        <v>157</v>
      </c>
      <c r="B135" s="32" t="s">
        <v>158</v>
      </c>
      <c r="C135" s="14"/>
      <c r="D135" s="22">
        <v>44</v>
      </c>
      <c r="E135" s="22">
        <v>178</v>
      </c>
      <c r="F135" s="22">
        <v>180.96</v>
      </c>
      <c r="G135" s="22">
        <v>187.8</v>
      </c>
      <c r="H135" s="22">
        <v>161.88</v>
      </c>
      <c r="J135" t="s">
        <v>376</v>
      </c>
      <c r="K135" t="s">
        <v>406</v>
      </c>
      <c r="L135" t="s">
        <v>378</v>
      </c>
      <c r="M135" t="s">
        <v>379</v>
      </c>
      <c r="N135" t="s">
        <v>380</v>
      </c>
      <c r="O135">
        <v>8.1199999999999994E-2</v>
      </c>
      <c r="P135" t="s">
        <v>381</v>
      </c>
      <c r="Q135">
        <f>H144/8760</f>
        <v>6.4436073059360735E-2</v>
      </c>
      <c r="R135" t="s">
        <v>381</v>
      </c>
    </row>
    <row r="136" spans="1:18" x14ac:dyDescent="0.45">
      <c r="A136" s="11" t="s">
        <v>159</v>
      </c>
      <c r="B136" s="32" t="s">
        <v>158</v>
      </c>
      <c r="C136" s="14"/>
      <c r="D136" s="22">
        <v>44</v>
      </c>
      <c r="E136" s="22">
        <v>166</v>
      </c>
      <c r="F136" s="22">
        <v>196.59</v>
      </c>
      <c r="G136" s="22">
        <v>181.18</v>
      </c>
      <c r="H136" s="22">
        <v>129.21</v>
      </c>
      <c r="O136">
        <f>O135*8760</f>
        <v>711.3119999999999</v>
      </c>
    </row>
    <row r="137" spans="1:18" x14ac:dyDescent="0.45">
      <c r="A137" s="11" t="s">
        <v>160</v>
      </c>
      <c r="B137" s="32" t="s">
        <v>161</v>
      </c>
      <c r="C137" s="14"/>
      <c r="D137" s="22">
        <v>14</v>
      </c>
      <c r="E137" s="22">
        <v>122</v>
      </c>
      <c r="F137" s="22">
        <v>155.61000000000001</v>
      </c>
      <c r="G137" s="22">
        <v>141.31</v>
      </c>
      <c r="H137" s="22">
        <v>73.67</v>
      </c>
    </row>
    <row r="138" spans="1:18" x14ac:dyDescent="0.45">
      <c r="A138" s="11" t="s">
        <v>162</v>
      </c>
      <c r="B138" s="32" t="s">
        <v>161</v>
      </c>
      <c r="C138" s="14"/>
      <c r="D138" s="22">
        <v>169</v>
      </c>
      <c r="E138" s="22">
        <v>296</v>
      </c>
      <c r="F138" s="22">
        <v>346.02</v>
      </c>
      <c r="G138" s="22">
        <v>194.67</v>
      </c>
      <c r="H138" s="22">
        <v>80.45</v>
      </c>
    </row>
    <row r="139" spans="1:18" x14ac:dyDescent="0.45">
      <c r="A139" s="11" t="s">
        <v>163</v>
      </c>
      <c r="B139" s="11" t="s">
        <v>59</v>
      </c>
      <c r="C139" s="32" t="s">
        <v>161</v>
      </c>
      <c r="D139" s="14"/>
      <c r="E139" s="22">
        <v>143</v>
      </c>
      <c r="F139" s="22">
        <v>20.87</v>
      </c>
      <c r="G139" s="22">
        <v>0</v>
      </c>
      <c r="H139" s="22">
        <v>0</v>
      </c>
    </row>
    <row r="140" spans="1:18" x14ac:dyDescent="0.45">
      <c r="A140" s="11" t="s">
        <v>164</v>
      </c>
      <c r="B140" s="32" t="s">
        <v>158</v>
      </c>
      <c r="C140" s="14"/>
      <c r="D140" s="11" t="s">
        <v>128</v>
      </c>
      <c r="E140" s="22">
        <v>23</v>
      </c>
      <c r="F140" s="22">
        <v>72.75</v>
      </c>
      <c r="G140" s="22">
        <v>61.2</v>
      </c>
      <c r="H140" s="22">
        <v>45.03</v>
      </c>
    </row>
    <row r="141" spans="1:18" x14ac:dyDescent="0.45">
      <c r="A141" s="11" t="s">
        <v>165</v>
      </c>
      <c r="B141" s="11" t="s">
        <v>166</v>
      </c>
      <c r="C141" s="11" t="s">
        <v>167</v>
      </c>
      <c r="D141" s="11" t="s">
        <v>128</v>
      </c>
      <c r="E141" s="11" t="s">
        <v>128</v>
      </c>
      <c r="F141" s="22">
        <v>87.08</v>
      </c>
      <c r="G141" s="22">
        <v>65.75</v>
      </c>
      <c r="H141" s="22">
        <v>36.79</v>
      </c>
    </row>
    <row r="142" spans="1:18" x14ac:dyDescent="0.45">
      <c r="A142" s="11" t="s">
        <v>168</v>
      </c>
      <c r="B142" s="11" t="s">
        <v>161</v>
      </c>
      <c r="C142" s="11" t="s">
        <v>161</v>
      </c>
      <c r="D142" s="11" t="s">
        <v>128</v>
      </c>
      <c r="E142" s="11" t="s">
        <v>128</v>
      </c>
      <c r="F142" s="11" t="s">
        <v>128</v>
      </c>
      <c r="G142" s="22">
        <v>48.92</v>
      </c>
      <c r="H142" s="22">
        <v>15.1</v>
      </c>
    </row>
    <row r="143" spans="1:18" x14ac:dyDescent="0.45">
      <c r="A143" s="11" t="s">
        <v>169</v>
      </c>
      <c r="B143" s="11" t="s">
        <v>161</v>
      </c>
      <c r="C143" s="11" t="s">
        <v>161</v>
      </c>
      <c r="D143" s="11" t="s">
        <v>128</v>
      </c>
      <c r="E143" s="11" t="s">
        <v>128</v>
      </c>
      <c r="F143" s="11" t="s">
        <v>128</v>
      </c>
      <c r="G143" s="22">
        <v>13.61</v>
      </c>
      <c r="H143" s="22">
        <v>22.34</v>
      </c>
    </row>
    <row r="144" spans="1:18" x14ac:dyDescent="0.45">
      <c r="A144" s="26" t="s">
        <v>170</v>
      </c>
      <c r="B144" s="26" t="s">
        <v>128</v>
      </c>
      <c r="C144" s="24"/>
      <c r="D144" s="28">
        <v>271</v>
      </c>
      <c r="E144" s="28">
        <v>928</v>
      </c>
      <c r="F144" s="27">
        <v>1059.8800000000001</v>
      </c>
      <c r="G144" s="28">
        <v>894.43</v>
      </c>
      <c r="H144" s="28">
        <v>564.46</v>
      </c>
    </row>
    <row r="145" spans="1:8" x14ac:dyDescent="0.45">
      <c r="A145" s="26" t="s">
        <v>171</v>
      </c>
      <c r="B145" s="24"/>
      <c r="C145" s="24"/>
      <c r="D145" s="27">
        <v>1187</v>
      </c>
      <c r="E145" s="27">
        <v>2950</v>
      </c>
      <c r="F145" s="27">
        <v>3907.12</v>
      </c>
      <c r="G145" s="27">
        <v>4840.59</v>
      </c>
      <c r="H145" s="27">
        <v>4151.91</v>
      </c>
    </row>
    <row r="146" spans="1:8" x14ac:dyDescent="0.45">
      <c r="A146" s="12" t="s">
        <v>172</v>
      </c>
      <c r="B146" s="13"/>
      <c r="C146" s="13"/>
      <c r="D146" s="13"/>
      <c r="E146" s="13"/>
      <c r="F146" s="13"/>
      <c r="G146" s="13"/>
      <c r="H146" s="14"/>
    </row>
    <row r="147" spans="1:8" x14ac:dyDescent="0.45">
      <c r="A147" s="11" t="s">
        <v>173</v>
      </c>
      <c r="B147" s="11" t="s">
        <v>174</v>
      </c>
      <c r="C147" s="11" t="s">
        <v>95</v>
      </c>
      <c r="D147" s="21">
        <v>3958</v>
      </c>
      <c r="E147" s="21">
        <v>4329</v>
      </c>
      <c r="F147" s="21">
        <v>4764.7</v>
      </c>
      <c r="G147" s="21">
        <v>4646.9399999999996</v>
      </c>
      <c r="H147" s="21">
        <v>4195</v>
      </c>
    </row>
    <row r="148" spans="1:8" x14ac:dyDescent="0.45">
      <c r="A148" s="11" t="s">
        <v>175</v>
      </c>
      <c r="B148" s="11" t="s">
        <v>174</v>
      </c>
      <c r="C148" s="11" t="s">
        <v>95</v>
      </c>
      <c r="D148" s="21">
        <v>4119</v>
      </c>
      <c r="E148" s="21">
        <v>3921</v>
      </c>
      <c r="F148" s="21">
        <v>3750.79</v>
      </c>
      <c r="G148" s="21">
        <v>4065.71</v>
      </c>
      <c r="H148" s="21">
        <v>4278</v>
      </c>
    </row>
    <row r="149" spans="1:8" x14ac:dyDescent="0.45">
      <c r="A149" s="11" t="s">
        <v>176</v>
      </c>
      <c r="B149" s="11" t="s">
        <v>46</v>
      </c>
      <c r="C149" s="11" t="s">
        <v>95</v>
      </c>
      <c r="D149" s="22">
        <v>500</v>
      </c>
      <c r="E149" s="22">
        <v>389</v>
      </c>
      <c r="F149" s="22">
        <v>323.11</v>
      </c>
      <c r="G149" s="22">
        <v>390.33</v>
      </c>
      <c r="H149" s="22">
        <v>313</v>
      </c>
    </row>
    <row r="150" spans="1:8" x14ac:dyDescent="0.45">
      <c r="A150" s="11" t="s">
        <v>177</v>
      </c>
      <c r="B150" s="11" t="s">
        <v>46</v>
      </c>
      <c r="C150" s="11" t="s">
        <v>95</v>
      </c>
      <c r="D150" s="22">
        <v>382</v>
      </c>
      <c r="E150" s="22">
        <v>384</v>
      </c>
      <c r="F150" s="22">
        <v>498.14</v>
      </c>
      <c r="G150" s="22">
        <v>368.02</v>
      </c>
      <c r="H150" s="22">
        <v>414</v>
      </c>
    </row>
    <row r="151" spans="1:8" x14ac:dyDescent="0.45">
      <c r="A151" s="11" t="s">
        <v>178</v>
      </c>
      <c r="B151" s="11" t="s">
        <v>46</v>
      </c>
      <c r="C151" s="11" t="s">
        <v>95</v>
      </c>
      <c r="D151" s="21">
        <v>1364</v>
      </c>
      <c r="E151" s="21">
        <v>1124</v>
      </c>
      <c r="F151" s="21">
        <v>1001.01</v>
      </c>
      <c r="G151" s="21">
        <v>1256.68</v>
      </c>
      <c r="H151" s="21">
        <v>1158</v>
      </c>
    </row>
    <row r="152" spans="1:8" x14ac:dyDescent="0.45">
      <c r="A152" s="23" t="s">
        <v>179</v>
      </c>
      <c r="B152" s="23" t="s">
        <v>128</v>
      </c>
      <c r="C152" s="24"/>
      <c r="D152" s="25">
        <v>10323</v>
      </c>
      <c r="E152" s="25">
        <v>10147</v>
      </c>
      <c r="F152" s="25">
        <v>10337.75</v>
      </c>
      <c r="G152" s="25">
        <v>10727.68</v>
      </c>
      <c r="H152" s="25">
        <v>10358</v>
      </c>
    </row>
    <row r="153" spans="1:8" x14ac:dyDescent="0.45">
      <c r="A153" s="12" t="s">
        <v>180</v>
      </c>
      <c r="B153" s="13"/>
      <c r="C153" s="13"/>
      <c r="D153" s="13"/>
      <c r="E153" s="13"/>
      <c r="F153" s="13"/>
      <c r="G153" s="13"/>
      <c r="H153" s="14"/>
    </row>
    <row r="154" spans="1:8" x14ac:dyDescent="0.45">
      <c r="A154" s="11" t="s">
        <v>181</v>
      </c>
      <c r="B154" s="11" t="s">
        <v>44</v>
      </c>
      <c r="C154" s="11"/>
      <c r="D154" s="22">
        <v>688</v>
      </c>
      <c r="E154" s="22">
        <v>788</v>
      </c>
      <c r="F154" s="22">
        <v>712.71</v>
      </c>
      <c r="G154" s="22">
        <v>675.54</v>
      </c>
      <c r="H154" s="22">
        <v>496</v>
      </c>
    </row>
    <row r="155" spans="1:8" x14ac:dyDescent="0.45">
      <c r="A155" s="11" t="s">
        <v>182</v>
      </c>
      <c r="B155" s="11" t="s">
        <v>44</v>
      </c>
      <c r="C155" s="11"/>
      <c r="D155" s="22">
        <v>733</v>
      </c>
      <c r="E155" s="22">
        <v>743</v>
      </c>
      <c r="F155" s="22">
        <v>752.38</v>
      </c>
      <c r="G155" s="22">
        <v>645.02</v>
      </c>
      <c r="H155" s="22">
        <v>627</v>
      </c>
    </row>
    <row r="156" spans="1:8" x14ac:dyDescent="0.45">
      <c r="A156" s="11" t="s">
        <v>183</v>
      </c>
      <c r="B156" s="11" t="s">
        <v>46</v>
      </c>
      <c r="C156" s="11"/>
      <c r="D156" s="11" t="s">
        <v>128</v>
      </c>
      <c r="E156" s="11" t="s">
        <v>128</v>
      </c>
      <c r="F156" s="22">
        <v>179.59</v>
      </c>
      <c r="G156" s="22">
        <v>410.25</v>
      </c>
      <c r="H156" s="22">
        <v>371.86</v>
      </c>
    </row>
    <row r="157" spans="1:8" x14ac:dyDescent="0.45">
      <c r="A157" s="11" t="s">
        <v>184</v>
      </c>
      <c r="B157" s="11" t="s">
        <v>46</v>
      </c>
      <c r="C157" s="11"/>
      <c r="D157" s="11" t="s">
        <v>128</v>
      </c>
      <c r="E157" s="11" t="s">
        <v>128</v>
      </c>
      <c r="F157" s="22">
        <v>180.13</v>
      </c>
      <c r="G157" s="22">
        <v>400.91</v>
      </c>
      <c r="H157" s="22">
        <v>367.82</v>
      </c>
    </row>
    <row r="158" spans="1:8" x14ac:dyDescent="0.45">
      <c r="A158" s="23" t="s">
        <v>185</v>
      </c>
      <c r="B158" s="23" t="s">
        <v>128</v>
      </c>
      <c r="C158" s="24"/>
      <c r="D158" s="25">
        <v>1421</v>
      </c>
      <c r="E158" s="25">
        <v>1531</v>
      </c>
      <c r="F158" s="25">
        <v>1824.81</v>
      </c>
      <c r="G158" s="25">
        <v>2131.7199999999998</v>
      </c>
      <c r="H158" s="25">
        <v>1862.68</v>
      </c>
    </row>
    <row r="159" spans="1:8" x14ac:dyDescent="0.45">
      <c r="A159" s="12" t="s">
        <v>186</v>
      </c>
      <c r="B159" s="13"/>
      <c r="C159" s="13"/>
      <c r="D159" s="13"/>
      <c r="E159" s="13"/>
      <c r="F159" s="13"/>
      <c r="G159" s="13"/>
      <c r="H159" s="14"/>
    </row>
    <row r="160" spans="1:8" x14ac:dyDescent="0.45">
      <c r="A160" s="11" t="s">
        <v>187</v>
      </c>
      <c r="B160" s="11" t="s">
        <v>188</v>
      </c>
      <c r="C160" s="11" t="s">
        <v>189</v>
      </c>
      <c r="D160" s="22">
        <v>69</v>
      </c>
      <c r="E160" s="22">
        <v>55</v>
      </c>
      <c r="F160" s="22">
        <v>44</v>
      </c>
      <c r="G160" s="22">
        <v>51.58</v>
      </c>
      <c r="H160" s="22">
        <v>60</v>
      </c>
    </row>
    <row r="161" spans="1:19" x14ac:dyDescent="0.45">
      <c r="A161" s="11" t="s">
        <v>190</v>
      </c>
      <c r="B161" s="11" t="s">
        <v>46</v>
      </c>
      <c r="C161" s="11"/>
      <c r="D161" s="22">
        <v>60</v>
      </c>
      <c r="E161" s="22">
        <v>57</v>
      </c>
      <c r="F161" s="22">
        <v>56</v>
      </c>
      <c r="G161" s="22">
        <v>46</v>
      </c>
      <c r="H161" s="22">
        <v>51</v>
      </c>
    </row>
    <row r="162" spans="1:19" x14ac:dyDescent="0.45">
      <c r="A162" s="11" t="s">
        <v>191</v>
      </c>
      <c r="B162" s="11" t="s">
        <v>46</v>
      </c>
      <c r="C162" s="11"/>
      <c r="D162" s="22">
        <v>10</v>
      </c>
      <c r="E162" s="22">
        <v>13</v>
      </c>
      <c r="F162" s="22">
        <v>12</v>
      </c>
      <c r="G162" s="22">
        <v>12.65</v>
      </c>
      <c r="H162" s="22">
        <v>11</v>
      </c>
    </row>
    <row r="163" spans="1:19" x14ac:dyDescent="0.45">
      <c r="A163" s="11" t="s">
        <v>192</v>
      </c>
      <c r="B163" s="33" t="s">
        <v>193</v>
      </c>
      <c r="C163" s="14"/>
      <c r="D163" s="11" t="s">
        <v>128</v>
      </c>
      <c r="E163" s="22">
        <v>62</v>
      </c>
      <c r="F163" s="22">
        <v>438.49</v>
      </c>
      <c r="G163" s="22">
        <v>413.51</v>
      </c>
      <c r="H163" s="22">
        <v>413</v>
      </c>
      <c r="Q163" t="s">
        <v>395</v>
      </c>
      <c r="R163" t="s">
        <v>391</v>
      </c>
      <c r="S163" t="s">
        <v>381</v>
      </c>
    </row>
    <row r="164" spans="1:19" x14ac:dyDescent="0.45">
      <c r="A164" s="26" t="s">
        <v>194</v>
      </c>
      <c r="B164" s="26" t="s">
        <v>128</v>
      </c>
      <c r="C164" s="24"/>
      <c r="D164" s="28">
        <v>139</v>
      </c>
      <c r="E164" s="28">
        <v>187</v>
      </c>
      <c r="F164" s="28">
        <v>550.49</v>
      </c>
      <c r="G164" s="28">
        <v>523.74</v>
      </c>
      <c r="H164" s="28">
        <v>535</v>
      </c>
    </row>
    <row r="165" spans="1:19" x14ac:dyDescent="0.45">
      <c r="A165" s="26" t="s">
        <v>195</v>
      </c>
      <c r="B165" s="24"/>
      <c r="C165" s="24"/>
      <c r="D165" s="27">
        <v>11883</v>
      </c>
      <c r="E165" s="27">
        <v>11865</v>
      </c>
      <c r="F165" s="27">
        <v>12713.05</v>
      </c>
      <c r="G165" s="27">
        <v>13383.14</v>
      </c>
      <c r="H165" s="27">
        <v>12755.68</v>
      </c>
    </row>
    <row r="166" spans="1:19" x14ac:dyDescent="0.45">
      <c r="A166" s="12" t="s">
        <v>196</v>
      </c>
      <c r="B166" s="13"/>
      <c r="C166" s="13"/>
      <c r="D166" s="13"/>
      <c r="E166" s="13"/>
      <c r="F166" s="13"/>
      <c r="G166" s="13"/>
      <c r="H166" s="14"/>
    </row>
    <row r="167" spans="1:19" x14ac:dyDescent="0.45">
      <c r="A167" s="11" t="s">
        <v>197</v>
      </c>
      <c r="B167" s="11" t="s">
        <v>149</v>
      </c>
      <c r="C167" s="11" t="s">
        <v>149</v>
      </c>
      <c r="D167" s="11" t="s">
        <v>128</v>
      </c>
      <c r="E167" s="11" t="s">
        <v>128</v>
      </c>
      <c r="F167" s="11" t="s">
        <v>128</v>
      </c>
      <c r="G167" s="22">
        <v>56.92</v>
      </c>
      <c r="H167" s="22">
        <v>88</v>
      </c>
    </row>
    <row r="168" spans="1:19" x14ac:dyDescent="0.45">
      <c r="A168" s="11" t="s">
        <v>198</v>
      </c>
      <c r="B168" s="11" t="s">
        <v>149</v>
      </c>
      <c r="C168" s="11" t="s">
        <v>149</v>
      </c>
      <c r="D168" s="11" t="s">
        <v>128</v>
      </c>
      <c r="E168" s="11" t="s">
        <v>128</v>
      </c>
      <c r="F168" s="11" t="s">
        <v>128</v>
      </c>
      <c r="G168" s="11" t="s">
        <v>128</v>
      </c>
      <c r="H168" s="22">
        <v>65</v>
      </c>
    </row>
    <row r="169" spans="1:19" x14ac:dyDescent="0.45">
      <c r="A169" s="11" t="s">
        <v>199</v>
      </c>
      <c r="B169" s="11" t="s">
        <v>128</v>
      </c>
      <c r="C169" s="11"/>
      <c r="D169" s="22">
        <v>0</v>
      </c>
      <c r="E169" s="22">
        <v>0</v>
      </c>
      <c r="F169" s="22">
        <v>0</v>
      </c>
      <c r="G169" s="22">
        <v>56.92</v>
      </c>
      <c r="H169" s="22">
        <v>153</v>
      </c>
    </row>
    <row r="170" spans="1:19" x14ac:dyDescent="0.45">
      <c r="A170" s="26" t="s">
        <v>200</v>
      </c>
      <c r="B170" s="24"/>
      <c r="C170" s="24"/>
      <c r="D170" s="27">
        <v>11883</v>
      </c>
      <c r="E170" s="27">
        <v>11865</v>
      </c>
      <c r="F170" s="27">
        <v>12713.05</v>
      </c>
      <c r="G170" s="27">
        <v>13440.06</v>
      </c>
      <c r="H170" s="27">
        <v>12908.68</v>
      </c>
    </row>
    <row r="171" spans="1:19" x14ac:dyDescent="0.45">
      <c r="A171" s="12" t="s">
        <v>201</v>
      </c>
      <c r="B171" s="13"/>
      <c r="C171" s="13"/>
      <c r="D171" s="13"/>
      <c r="E171" s="13"/>
      <c r="F171" s="13"/>
      <c r="G171" s="13"/>
      <c r="H171" s="14"/>
    </row>
    <row r="172" spans="1:19" x14ac:dyDescent="0.45">
      <c r="A172" s="23" t="s">
        <v>202</v>
      </c>
      <c r="B172" s="24"/>
      <c r="C172" s="24"/>
      <c r="D172" s="31">
        <v>251</v>
      </c>
      <c r="E172" s="31">
        <v>271.39999999999998</v>
      </c>
      <c r="F172" s="31">
        <v>665.53</v>
      </c>
      <c r="G172" s="31">
        <v>405.13</v>
      </c>
      <c r="H172" s="31">
        <v>170.99</v>
      </c>
    </row>
    <row r="173" spans="1:19" x14ac:dyDescent="0.45">
      <c r="A173" s="23" t="s">
        <v>203</v>
      </c>
      <c r="B173" s="24"/>
      <c r="C173" s="24"/>
      <c r="D173" s="25">
        <v>114092.66</v>
      </c>
      <c r="E173" s="25">
        <v>120621.78</v>
      </c>
      <c r="F173" s="25">
        <v>133593.42000000001</v>
      </c>
      <c r="G173" s="25">
        <v>137018.85999999999</v>
      </c>
      <c r="H173" s="25">
        <v>135259.32999999999</v>
      </c>
    </row>
    <row r="174" spans="1:19" x14ac:dyDescent="0.45">
      <c r="J174" t="s">
        <v>376</v>
      </c>
      <c r="K174" t="s">
        <v>392</v>
      </c>
      <c r="L174" t="s">
        <v>378</v>
      </c>
      <c r="M174" t="s">
        <v>379</v>
      </c>
      <c r="N174" t="s">
        <v>380</v>
      </c>
      <c r="O174">
        <v>2.6452730356133412</v>
      </c>
      <c r="P174" t="s">
        <v>381</v>
      </c>
      <c r="Q174">
        <f>O174/(O174+O175+O176)</f>
        <v>0.84113104887702028</v>
      </c>
      <c r="R174">
        <f>25966.35*Q174</f>
        <v>21841.103211007816</v>
      </c>
      <c r="S174">
        <f>R174/8760</f>
        <v>2.493276622261166</v>
      </c>
    </row>
    <row r="175" spans="1:19" x14ac:dyDescent="0.45">
      <c r="J175" t="s">
        <v>376</v>
      </c>
      <c r="K175" t="s">
        <v>393</v>
      </c>
      <c r="L175" t="s">
        <v>378</v>
      </c>
      <c r="M175" t="s">
        <v>379</v>
      </c>
      <c r="N175" t="s">
        <v>380</v>
      </c>
      <c r="O175">
        <v>0</v>
      </c>
      <c r="P175" t="s">
        <v>381</v>
      </c>
      <c r="Q175">
        <f>O175/(O174+O175+O176)</f>
        <v>0</v>
      </c>
      <c r="R175">
        <f t="shared" ref="R175:R176" si="2">25966.35*Q175</f>
        <v>0</v>
      </c>
      <c r="S175">
        <f t="shared" ref="S175:S176" si="3">R175/8760</f>
        <v>0</v>
      </c>
    </row>
    <row r="176" spans="1:19" x14ac:dyDescent="0.45">
      <c r="J176" t="s">
        <v>376</v>
      </c>
      <c r="K176" t="s">
        <v>394</v>
      </c>
      <c r="L176" t="s">
        <v>378</v>
      </c>
      <c r="M176" t="s">
        <v>379</v>
      </c>
      <c r="N176" t="s">
        <v>380</v>
      </c>
      <c r="O176">
        <v>0.49962696438665899</v>
      </c>
      <c r="P176" t="s">
        <v>381</v>
      </c>
      <c r="Q176">
        <f>O176/(O174+O175+O176)</f>
        <v>0.15886895112297972</v>
      </c>
      <c r="R176">
        <f t="shared" si="2"/>
        <v>4125.2467889921845</v>
      </c>
      <c r="S176">
        <f t="shared" si="3"/>
        <v>0.47091858321828589</v>
      </c>
    </row>
    <row r="177" spans="15:16" x14ac:dyDescent="0.45">
      <c r="O177">
        <f>SUBTOTAL(9,O174:O176)</f>
        <v>3.1449000000000003</v>
      </c>
      <c r="P177" t="s">
        <v>381</v>
      </c>
    </row>
    <row r="178" spans="15:16" x14ac:dyDescent="0.45">
      <c r="O178">
        <f>O177*8760</f>
        <v>27549.324000000001</v>
      </c>
      <c r="P178" t="s">
        <v>383</v>
      </c>
    </row>
  </sheetData>
  <autoFilter ref="A1:H178" xr:uid="{27327DAF-FC3B-4934-9E6A-BC3F73B91038}"/>
  <mergeCells count="26">
    <mergeCell ref="A166:H166"/>
    <mergeCell ref="A171:H171"/>
    <mergeCell ref="C139:D139"/>
    <mergeCell ref="B140:C140"/>
    <mergeCell ref="A146:H146"/>
    <mergeCell ref="A153:H153"/>
    <mergeCell ref="A159:H159"/>
    <mergeCell ref="B163:C163"/>
    <mergeCell ref="A126:H126"/>
    <mergeCell ref="A134:H134"/>
    <mergeCell ref="B135:C135"/>
    <mergeCell ref="B136:C136"/>
    <mergeCell ref="B137:C137"/>
    <mergeCell ref="B138:C138"/>
    <mergeCell ref="A89:H89"/>
    <mergeCell ref="A96:H96"/>
    <mergeCell ref="A99:H99"/>
    <mergeCell ref="A100:H100"/>
    <mergeCell ref="G104:G105"/>
    <mergeCell ref="H104:H105"/>
    <mergeCell ref="A2:H2"/>
    <mergeCell ref="A3:H3"/>
    <mergeCell ref="A16:H16"/>
    <mergeCell ref="A28:H28"/>
    <mergeCell ref="A38:H38"/>
    <mergeCell ref="A52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48A5-3940-4C2B-83DC-DCB3DD59E4E9}">
  <dimension ref="A1:H8"/>
  <sheetViews>
    <sheetView workbookViewId="0">
      <selection activeCell="H8" sqref="H8"/>
    </sheetView>
  </sheetViews>
  <sheetFormatPr defaultRowHeight="14.25" x14ac:dyDescent="0.45"/>
  <sheetData>
    <row r="1" spans="1:8" x14ac:dyDescent="0.45">
      <c r="A1" t="s">
        <v>58</v>
      </c>
      <c r="B1" t="s">
        <v>59</v>
      </c>
      <c r="C1" t="s">
        <v>59</v>
      </c>
      <c r="D1">
        <v>148.16</v>
      </c>
      <c r="E1">
        <v>123.97</v>
      </c>
      <c r="F1">
        <v>3.39</v>
      </c>
      <c r="G1">
        <v>0.06</v>
      </c>
      <c r="H1">
        <v>0</v>
      </c>
    </row>
    <row r="2" spans="1:8" x14ac:dyDescent="0.45">
      <c r="A2" t="s">
        <v>92</v>
      </c>
      <c r="B2" t="s">
        <v>93</v>
      </c>
      <c r="C2" t="s">
        <v>63</v>
      </c>
      <c r="E2">
        <v>873.17</v>
      </c>
      <c r="F2">
        <v>8461.59</v>
      </c>
      <c r="G2">
        <v>8220.07</v>
      </c>
      <c r="H2">
        <v>6167.19</v>
      </c>
    </row>
    <row r="3" spans="1:8" x14ac:dyDescent="0.45">
      <c r="A3" t="s">
        <v>98</v>
      </c>
      <c r="B3" t="s">
        <v>93</v>
      </c>
      <c r="C3" t="s">
        <v>47</v>
      </c>
      <c r="E3" t="s">
        <v>63</v>
      </c>
      <c r="F3">
        <v>3319.02</v>
      </c>
      <c r="G3">
        <v>7553.64</v>
      </c>
      <c r="H3">
        <v>8969.74</v>
      </c>
    </row>
    <row r="4" spans="1:8" x14ac:dyDescent="0.45">
      <c r="A4" t="s">
        <v>102</v>
      </c>
      <c r="B4" t="s">
        <v>103</v>
      </c>
      <c r="C4" t="s">
        <v>63</v>
      </c>
      <c r="E4" t="s">
        <v>63</v>
      </c>
      <c r="F4" t="s">
        <v>63</v>
      </c>
      <c r="G4">
        <v>260.82</v>
      </c>
      <c r="H4">
        <v>6136.2</v>
      </c>
    </row>
    <row r="5" spans="1:8" x14ac:dyDescent="0.45">
      <c r="A5" t="s">
        <v>104</v>
      </c>
      <c r="B5" t="s">
        <v>105</v>
      </c>
      <c r="C5" t="s">
        <v>63</v>
      </c>
      <c r="E5" t="s">
        <v>63</v>
      </c>
      <c r="F5" t="s">
        <v>63</v>
      </c>
      <c r="G5">
        <v>277.42</v>
      </c>
      <c r="H5">
        <v>4280.22</v>
      </c>
    </row>
    <row r="6" spans="1:8" x14ac:dyDescent="0.45">
      <c r="A6" t="s">
        <v>163</v>
      </c>
      <c r="B6" t="s">
        <v>59</v>
      </c>
      <c r="C6" t="s">
        <v>161</v>
      </c>
      <c r="E6">
        <v>143</v>
      </c>
      <c r="F6">
        <v>20.87</v>
      </c>
      <c r="G6">
        <v>0</v>
      </c>
      <c r="H6">
        <v>0</v>
      </c>
    </row>
    <row r="7" spans="1:8" x14ac:dyDescent="0.45">
      <c r="A7" t="s">
        <v>192</v>
      </c>
      <c r="B7" t="s">
        <v>193</v>
      </c>
      <c r="D7" t="s">
        <v>128</v>
      </c>
      <c r="E7">
        <v>62</v>
      </c>
      <c r="F7">
        <v>438.49</v>
      </c>
      <c r="G7">
        <v>413.51</v>
      </c>
      <c r="H7">
        <v>413</v>
      </c>
    </row>
    <row r="8" spans="1:8" x14ac:dyDescent="0.45">
      <c r="H8">
        <f>SUM(H1:H7)</f>
        <v>25966.350000000002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4304-A467-4E64-9EE9-58A820DA647D}">
  <dimension ref="A1:P173"/>
  <sheetViews>
    <sheetView topLeftCell="A15" workbookViewId="0">
      <selection activeCell="H38" sqref="H38"/>
    </sheetView>
  </sheetViews>
  <sheetFormatPr defaultColWidth="15.59765625" defaultRowHeight="14.25" x14ac:dyDescent="0.45"/>
  <sheetData>
    <row r="1" spans="1:16" s="41" customFormat="1" x14ac:dyDescent="0.45">
      <c r="A1" s="40" t="s">
        <v>0</v>
      </c>
      <c r="B1" s="40" t="s">
        <v>208</v>
      </c>
      <c r="C1" s="40" t="s">
        <v>209</v>
      </c>
      <c r="D1" s="40">
        <v>2016</v>
      </c>
      <c r="E1" s="40">
        <v>2017</v>
      </c>
      <c r="F1" s="40">
        <v>2018</v>
      </c>
      <c r="G1" s="40">
        <v>2019</v>
      </c>
      <c r="H1" s="40">
        <v>2020</v>
      </c>
      <c r="J1" s="60" t="s">
        <v>349</v>
      </c>
      <c r="K1" s="61" t="s">
        <v>350</v>
      </c>
      <c r="L1" s="62"/>
      <c r="M1" s="62"/>
      <c r="N1" s="62"/>
      <c r="O1" s="62"/>
      <c r="P1" s="63"/>
    </row>
    <row r="2" spans="1:16" x14ac:dyDescent="0.45">
      <c r="A2" s="34" t="s">
        <v>4</v>
      </c>
      <c r="B2" s="35"/>
      <c r="C2" s="35"/>
      <c r="D2" s="35"/>
      <c r="E2" s="35"/>
      <c r="F2" s="35"/>
      <c r="G2" s="35"/>
      <c r="H2" s="36"/>
      <c r="J2" s="42" t="s">
        <v>351</v>
      </c>
      <c r="K2" s="64" t="s">
        <v>352</v>
      </c>
      <c r="L2" s="46"/>
      <c r="M2" s="46"/>
      <c r="N2" s="46"/>
      <c r="O2" s="46"/>
      <c r="P2" s="47"/>
    </row>
    <row r="3" spans="1:16" ht="16.899999999999999" x14ac:dyDescent="0.5">
      <c r="A3" s="37" t="s">
        <v>5</v>
      </c>
      <c r="B3" s="38"/>
      <c r="C3" s="38"/>
      <c r="D3" s="38"/>
      <c r="E3" s="38"/>
      <c r="F3" s="38"/>
      <c r="G3" s="38"/>
      <c r="H3" s="39"/>
      <c r="J3" s="42" t="s">
        <v>353</v>
      </c>
      <c r="K3" s="64" t="s">
        <v>354</v>
      </c>
      <c r="L3" s="46"/>
      <c r="M3" s="46"/>
      <c r="N3" s="46"/>
      <c r="O3" s="46"/>
      <c r="P3" s="47"/>
    </row>
    <row r="4" spans="1:16" x14ac:dyDescent="0.45">
      <c r="A4" s="42" t="s">
        <v>6</v>
      </c>
      <c r="B4" s="42" t="s">
        <v>210</v>
      </c>
      <c r="C4" s="42" t="s">
        <v>211</v>
      </c>
      <c r="D4" s="43">
        <v>3478</v>
      </c>
      <c r="E4" s="43">
        <v>3478</v>
      </c>
      <c r="F4" s="43">
        <v>3948</v>
      </c>
      <c r="G4" s="43">
        <v>3478</v>
      </c>
      <c r="H4" s="43">
        <v>3478</v>
      </c>
      <c r="J4" s="42" t="s">
        <v>270</v>
      </c>
      <c r="K4" s="65" t="s">
        <v>355</v>
      </c>
      <c r="L4" s="66"/>
      <c r="M4" s="66"/>
      <c r="N4" s="66"/>
      <c r="O4" s="66"/>
      <c r="P4" s="67"/>
    </row>
    <row r="5" spans="1:16" x14ac:dyDescent="0.45">
      <c r="A5" s="42" t="s">
        <v>8</v>
      </c>
      <c r="B5" s="42" t="s">
        <v>210</v>
      </c>
      <c r="C5" s="42" t="s">
        <v>211</v>
      </c>
      <c r="D5" s="42" t="s">
        <v>65</v>
      </c>
      <c r="E5" s="42" t="s">
        <v>65</v>
      </c>
      <c r="F5" s="42" t="s">
        <v>65</v>
      </c>
      <c r="G5" s="43">
        <v>1410</v>
      </c>
      <c r="H5" s="43">
        <v>1410</v>
      </c>
      <c r="J5" s="42" t="s">
        <v>356</v>
      </c>
      <c r="K5" s="42" t="s">
        <v>357</v>
      </c>
      <c r="L5" s="42"/>
      <c r="M5" s="42"/>
      <c r="N5" s="42"/>
      <c r="O5" s="42"/>
      <c r="P5" s="42"/>
    </row>
    <row r="6" spans="1:16" x14ac:dyDescent="0.45">
      <c r="A6" s="42" t="s">
        <v>9</v>
      </c>
      <c r="B6" s="42" t="s">
        <v>212</v>
      </c>
      <c r="C6" s="42" t="s">
        <v>213</v>
      </c>
      <c r="D6" s="43">
        <v>1450</v>
      </c>
      <c r="E6" s="43">
        <v>1450</v>
      </c>
      <c r="F6" s="43">
        <v>1450</v>
      </c>
      <c r="G6" s="43">
        <v>1450</v>
      </c>
      <c r="H6" s="43">
        <v>1450</v>
      </c>
      <c r="J6" s="42" t="s">
        <v>251</v>
      </c>
      <c r="K6" s="64" t="s">
        <v>358</v>
      </c>
      <c r="L6" s="46"/>
      <c r="M6" s="46"/>
      <c r="N6" s="46"/>
      <c r="O6" s="46"/>
      <c r="P6" s="47"/>
    </row>
    <row r="7" spans="1:16" x14ac:dyDescent="0.45">
      <c r="A7" s="42" t="s">
        <v>10</v>
      </c>
      <c r="B7" s="42" t="s">
        <v>214</v>
      </c>
      <c r="C7" s="42" t="s">
        <v>211</v>
      </c>
      <c r="D7" s="43">
        <v>1000</v>
      </c>
      <c r="E7" s="43">
        <v>1000</v>
      </c>
      <c r="F7" s="43">
        <v>1000</v>
      </c>
      <c r="G7" s="43">
        <v>1000</v>
      </c>
      <c r="H7" s="43">
        <v>1000</v>
      </c>
      <c r="J7" s="42" t="s">
        <v>359</v>
      </c>
      <c r="K7" s="42" t="s">
        <v>360</v>
      </c>
      <c r="L7" s="42"/>
      <c r="M7" s="42"/>
      <c r="N7" s="42"/>
      <c r="O7" s="42"/>
      <c r="P7" s="42"/>
    </row>
    <row r="8" spans="1:16" x14ac:dyDescent="0.45">
      <c r="A8" s="42" t="s">
        <v>11</v>
      </c>
      <c r="B8" s="42" t="s">
        <v>215</v>
      </c>
      <c r="C8" s="42" t="s">
        <v>213</v>
      </c>
      <c r="D8" s="44">
        <v>243</v>
      </c>
      <c r="E8" s="44">
        <v>243</v>
      </c>
      <c r="F8" s="44">
        <v>243</v>
      </c>
      <c r="G8" s="44">
        <v>243</v>
      </c>
      <c r="H8" s="44">
        <v>243</v>
      </c>
      <c r="J8" s="42" t="s">
        <v>361</v>
      </c>
      <c r="K8" s="64" t="s">
        <v>362</v>
      </c>
      <c r="L8" s="46"/>
      <c r="M8" s="46"/>
      <c r="N8" s="46"/>
      <c r="O8" s="46"/>
      <c r="P8" s="47"/>
    </row>
    <row r="9" spans="1:16" x14ac:dyDescent="0.45">
      <c r="A9" s="42" t="s">
        <v>12</v>
      </c>
      <c r="B9" s="42" t="s">
        <v>216</v>
      </c>
      <c r="C9" s="42" t="s">
        <v>213</v>
      </c>
      <c r="D9" s="44">
        <v>184</v>
      </c>
      <c r="E9" s="44">
        <v>184</v>
      </c>
      <c r="F9" s="44">
        <v>184</v>
      </c>
      <c r="G9" s="44">
        <v>184</v>
      </c>
      <c r="H9" s="44">
        <v>184</v>
      </c>
      <c r="J9" s="42" t="s">
        <v>363</v>
      </c>
      <c r="K9" s="64" t="s">
        <v>364</v>
      </c>
      <c r="L9" s="46"/>
      <c r="M9" s="46"/>
      <c r="N9" s="46"/>
      <c r="O9" s="46"/>
      <c r="P9" s="47"/>
    </row>
    <row r="10" spans="1:16" x14ac:dyDescent="0.45">
      <c r="A10" s="42" t="s">
        <v>13</v>
      </c>
      <c r="B10" s="42" t="s">
        <v>217</v>
      </c>
      <c r="C10" s="42" t="s">
        <v>211</v>
      </c>
      <c r="D10" s="44">
        <v>72</v>
      </c>
      <c r="E10" s="44">
        <v>72</v>
      </c>
      <c r="F10" s="44">
        <v>72</v>
      </c>
      <c r="G10" s="44">
        <v>72</v>
      </c>
      <c r="H10" s="44">
        <v>72</v>
      </c>
      <c r="J10" s="42" t="s">
        <v>365</v>
      </c>
      <c r="K10" s="64" t="s">
        <v>366</v>
      </c>
      <c r="L10" s="46"/>
      <c r="M10" s="46"/>
      <c r="N10" s="46"/>
      <c r="O10" s="46"/>
      <c r="P10" s="47"/>
    </row>
    <row r="11" spans="1:16" x14ac:dyDescent="0.45">
      <c r="A11" s="42" t="s">
        <v>14</v>
      </c>
      <c r="B11" s="42" t="s">
        <v>218</v>
      </c>
      <c r="C11" s="42" t="s">
        <v>211</v>
      </c>
      <c r="D11" s="44">
        <v>121</v>
      </c>
      <c r="E11" s="44">
        <v>121</v>
      </c>
      <c r="F11" s="44">
        <v>121</v>
      </c>
      <c r="G11" s="44">
        <v>121</v>
      </c>
      <c r="H11" s="44">
        <v>121</v>
      </c>
      <c r="J11" s="42" t="s">
        <v>367</v>
      </c>
      <c r="K11" s="42" t="s">
        <v>368</v>
      </c>
      <c r="L11" s="42"/>
      <c r="M11" s="42"/>
      <c r="N11" s="42"/>
      <c r="O11" s="42"/>
      <c r="P11" s="42"/>
    </row>
    <row r="12" spans="1:16" x14ac:dyDescent="0.45">
      <c r="A12" s="42" t="s">
        <v>219</v>
      </c>
      <c r="B12" s="42" t="s">
        <v>220</v>
      </c>
      <c r="C12" s="42" t="s">
        <v>213</v>
      </c>
      <c r="D12" s="44">
        <v>96</v>
      </c>
      <c r="E12" s="44">
        <v>96</v>
      </c>
      <c r="F12" s="44">
        <v>96</v>
      </c>
      <c r="G12" s="44">
        <v>96</v>
      </c>
      <c r="H12" s="44">
        <v>96</v>
      </c>
      <c r="J12" s="42" t="s">
        <v>369</v>
      </c>
      <c r="K12" s="42" t="s">
        <v>370</v>
      </c>
      <c r="L12" s="42"/>
      <c r="M12" s="42"/>
      <c r="N12" s="42"/>
      <c r="O12" s="42"/>
      <c r="P12" s="42"/>
    </row>
    <row r="13" spans="1:16" x14ac:dyDescent="0.45">
      <c r="A13" s="42" t="s">
        <v>16</v>
      </c>
      <c r="B13" s="42" t="s">
        <v>221</v>
      </c>
      <c r="C13" s="42" t="s">
        <v>211</v>
      </c>
      <c r="D13" s="44">
        <v>130</v>
      </c>
      <c r="E13" s="44">
        <v>130</v>
      </c>
      <c r="F13" s="44">
        <v>130</v>
      </c>
      <c r="G13" s="44">
        <v>130</v>
      </c>
      <c r="H13" s="44">
        <v>130</v>
      </c>
      <c r="J13" s="42" t="s">
        <v>371</v>
      </c>
      <c r="K13" s="42" t="s">
        <v>372</v>
      </c>
      <c r="L13" s="42"/>
      <c r="M13" s="42"/>
      <c r="N13" s="42"/>
      <c r="O13" s="42"/>
      <c r="P13" s="42"/>
    </row>
    <row r="14" spans="1:16" x14ac:dyDescent="0.45">
      <c r="A14" s="42" t="s">
        <v>17</v>
      </c>
      <c r="B14" s="42" t="s">
        <v>222</v>
      </c>
      <c r="C14" s="42" t="s">
        <v>213</v>
      </c>
      <c r="D14" s="42" t="s">
        <v>65</v>
      </c>
      <c r="E14" s="42" t="s">
        <v>65</v>
      </c>
      <c r="F14" s="44">
        <v>969</v>
      </c>
      <c r="G14" s="44">
        <v>969</v>
      </c>
      <c r="H14" s="44">
        <v>969</v>
      </c>
      <c r="J14" s="42" t="s">
        <v>373</v>
      </c>
      <c r="K14" s="64" t="s">
        <v>374</v>
      </c>
      <c r="L14" s="46"/>
      <c r="M14" s="46"/>
      <c r="N14" s="46"/>
      <c r="O14" s="46"/>
      <c r="P14" s="47"/>
    </row>
    <row r="15" spans="1:16" x14ac:dyDescent="0.45">
      <c r="A15" s="42" t="s">
        <v>18</v>
      </c>
      <c r="B15" s="42" t="s">
        <v>223</v>
      </c>
      <c r="C15" s="42" t="s">
        <v>213</v>
      </c>
      <c r="D15" s="42" t="s">
        <v>65</v>
      </c>
      <c r="E15" s="42" t="s">
        <v>65</v>
      </c>
      <c r="F15" s="42" t="s">
        <v>65</v>
      </c>
      <c r="G15" s="44">
        <v>108</v>
      </c>
      <c r="H15" s="44">
        <v>108</v>
      </c>
      <c r="J15" s="42" t="s">
        <v>270</v>
      </c>
      <c r="K15" s="64" t="s">
        <v>375</v>
      </c>
      <c r="L15" s="46"/>
      <c r="M15" s="46"/>
      <c r="N15" s="46"/>
      <c r="O15" s="46"/>
      <c r="P15" s="47"/>
    </row>
    <row r="16" spans="1:16" x14ac:dyDescent="0.45">
      <c r="A16" s="45" t="s">
        <v>19</v>
      </c>
      <c r="B16" s="46"/>
      <c r="C16" s="46"/>
      <c r="D16" s="46"/>
      <c r="E16" s="46"/>
      <c r="F16" s="46"/>
      <c r="G16" s="46"/>
      <c r="H16" s="47"/>
    </row>
    <row r="17" spans="1:8" x14ac:dyDescent="0.45">
      <c r="A17" s="42" t="s">
        <v>20</v>
      </c>
      <c r="B17" s="42" t="s">
        <v>224</v>
      </c>
      <c r="C17" s="42" t="s">
        <v>225</v>
      </c>
      <c r="D17" s="44">
        <v>20</v>
      </c>
      <c r="E17" s="44">
        <v>20</v>
      </c>
      <c r="F17" s="44">
        <v>20</v>
      </c>
      <c r="G17" s="44">
        <v>20</v>
      </c>
      <c r="H17" s="44">
        <v>20</v>
      </c>
    </row>
    <row r="18" spans="1:8" x14ac:dyDescent="0.45">
      <c r="A18" s="42" t="s">
        <v>21</v>
      </c>
      <c r="B18" s="42" t="s">
        <v>226</v>
      </c>
      <c r="C18" s="42" t="s">
        <v>225</v>
      </c>
      <c r="D18" s="44">
        <v>22</v>
      </c>
      <c r="E18" s="44">
        <v>22</v>
      </c>
      <c r="F18" s="44">
        <v>22</v>
      </c>
      <c r="G18" s="44">
        <v>22</v>
      </c>
      <c r="H18" s="44">
        <v>22</v>
      </c>
    </row>
    <row r="19" spans="1:8" x14ac:dyDescent="0.45">
      <c r="A19" s="42" t="s">
        <v>22</v>
      </c>
      <c r="B19" s="42" t="s">
        <v>227</v>
      </c>
      <c r="C19" s="42" t="s">
        <v>225</v>
      </c>
      <c r="D19" s="44">
        <v>14</v>
      </c>
      <c r="E19" s="44">
        <v>14</v>
      </c>
      <c r="F19" s="44">
        <v>14</v>
      </c>
      <c r="G19" s="44">
        <v>14</v>
      </c>
      <c r="H19" s="44">
        <v>14</v>
      </c>
    </row>
    <row r="20" spans="1:8" x14ac:dyDescent="0.45">
      <c r="A20" s="42" t="s">
        <v>23</v>
      </c>
      <c r="B20" s="42" t="s">
        <v>228</v>
      </c>
      <c r="C20" s="42" t="s">
        <v>225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</row>
    <row r="21" spans="1:8" x14ac:dyDescent="0.45">
      <c r="A21" s="42" t="s">
        <v>24</v>
      </c>
      <c r="B21" s="42" t="s">
        <v>229</v>
      </c>
      <c r="C21" s="42" t="s">
        <v>225</v>
      </c>
      <c r="D21" s="44">
        <v>14</v>
      </c>
      <c r="E21" s="44">
        <v>14</v>
      </c>
      <c r="F21" s="44">
        <v>14</v>
      </c>
      <c r="G21" s="44">
        <v>14</v>
      </c>
      <c r="H21" s="44">
        <v>14</v>
      </c>
    </row>
    <row r="22" spans="1:8" x14ac:dyDescent="0.45">
      <c r="A22" s="42" t="s">
        <v>25</v>
      </c>
      <c r="B22" s="42" t="s">
        <v>230</v>
      </c>
      <c r="C22" s="42" t="s">
        <v>225</v>
      </c>
      <c r="D22" s="44">
        <v>4</v>
      </c>
      <c r="E22" s="44">
        <v>4</v>
      </c>
      <c r="F22" s="44">
        <v>4</v>
      </c>
      <c r="G22" s="44">
        <v>4</v>
      </c>
      <c r="H22" s="44">
        <v>4</v>
      </c>
    </row>
    <row r="23" spans="1:8" x14ac:dyDescent="0.45">
      <c r="A23" s="42" t="s">
        <v>26</v>
      </c>
      <c r="B23" s="42" t="s">
        <v>231</v>
      </c>
      <c r="C23" s="42" t="s">
        <v>225</v>
      </c>
      <c r="D23" s="44">
        <v>1</v>
      </c>
      <c r="E23" s="44">
        <v>1</v>
      </c>
      <c r="F23" s="44">
        <v>1</v>
      </c>
      <c r="G23" s="44">
        <v>1</v>
      </c>
      <c r="H23" s="44">
        <v>1</v>
      </c>
    </row>
    <row r="24" spans="1:8" x14ac:dyDescent="0.45">
      <c r="A24" s="42" t="s">
        <v>27</v>
      </c>
      <c r="B24" s="42" t="s">
        <v>223</v>
      </c>
      <c r="C24" s="42" t="s">
        <v>225</v>
      </c>
      <c r="D24" s="44">
        <v>1</v>
      </c>
      <c r="E24" s="44">
        <v>1</v>
      </c>
      <c r="F24" s="44">
        <v>1</v>
      </c>
      <c r="G24" s="44">
        <v>1</v>
      </c>
      <c r="H24" s="44">
        <v>1</v>
      </c>
    </row>
    <row r="25" spans="1:8" x14ac:dyDescent="0.45">
      <c r="A25" s="42" t="s">
        <v>28</v>
      </c>
      <c r="B25" s="42" t="s">
        <v>232</v>
      </c>
      <c r="C25" s="42" t="s">
        <v>211</v>
      </c>
      <c r="D25" s="44">
        <v>17</v>
      </c>
      <c r="E25" s="44">
        <v>17</v>
      </c>
      <c r="F25" s="44">
        <v>17</v>
      </c>
      <c r="G25" s="44">
        <v>17</v>
      </c>
      <c r="H25" s="44">
        <v>17</v>
      </c>
    </row>
    <row r="26" spans="1:8" x14ac:dyDescent="0.45">
      <c r="A26" s="42" t="s">
        <v>29</v>
      </c>
      <c r="B26" s="42" t="s">
        <v>233</v>
      </c>
      <c r="C26" s="42" t="s">
        <v>213</v>
      </c>
      <c r="D26" s="44">
        <v>22</v>
      </c>
      <c r="E26" s="44">
        <v>22</v>
      </c>
      <c r="F26" s="44">
        <v>22</v>
      </c>
      <c r="G26" s="44">
        <v>22</v>
      </c>
      <c r="H26" s="44">
        <v>22</v>
      </c>
    </row>
    <row r="27" spans="1:8" x14ac:dyDescent="0.45">
      <c r="A27" s="48" t="s">
        <v>234</v>
      </c>
      <c r="B27" s="49"/>
      <c r="C27" s="49"/>
      <c r="D27" s="50">
        <v>6902</v>
      </c>
      <c r="E27" s="50">
        <v>6902</v>
      </c>
      <c r="F27" s="50">
        <v>8341</v>
      </c>
      <c r="G27" s="50">
        <v>9389</v>
      </c>
      <c r="H27" s="50">
        <v>9389</v>
      </c>
    </row>
    <row r="28" spans="1:8" x14ac:dyDescent="0.45">
      <c r="A28" s="51" t="s">
        <v>31</v>
      </c>
      <c r="B28" s="46"/>
      <c r="C28" s="46"/>
      <c r="D28" s="46"/>
      <c r="E28" s="46"/>
      <c r="F28" s="46"/>
      <c r="G28" s="46"/>
      <c r="H28" s="47"/>
    </row>
    <row r="29" spans="1:8" x14ac:dyDescent="0.45">
      <c r="A29" s="42" t="s">
        <v>235</v>
      </c>
      <c r="B29" s="42" t="s">
        <v>236</v>
      </c>
      <c r="C29" s="42" t="s">
        <v>237</v>
      </c>
      <c r="D29" s="44">
        <v>30</v>
      </c>
      <c r="E29" s="44">
        <v>30</v>
      </c>
      <c r="F29" s="44">
        <v>30</v>
      </c>
      <c r="G29" s="44">
        <v>30</v>
      </c>
      <c r="H29" s="44">
        <v>30</v>
      </c>
    </row>
    <row r="30" spans="1:8" x14ac:dyDescent="0.45">
      <c r="A30" s="42" t="s">
        <v>32</v>
      </c>
      <c r="B30" s="42" t="s">
        <v>233</v>
      </c>
      <c r="C30" s="42" t="s">
        <v>238</v>
      </c>
      <c r="D30" s="44">
        <v>81</v>
      </c>
      <c r="E30" s="44">
        <v>81</v>
      </c>
      <c r="F30" s="44">
        <v>84</v>
      </c>
      <c r="G30" s="44">
        <v>84</v>
      </c>
      <c r="H30" s="44">
        <v>84</v>
      </c>
    </row>
    <row r="31" spans="1:8" x14ac:dyDescent="0.45">
      <c r="A31" s="42" t="s">
        <v>33</v>
      </c>
      <c r="B31" s="42" t="s">
        <v>239</v>
      </c>
      <c r="C31" s="42" t="s">
        <v>240</v>
      </c>
      <c r="D31" s="44">
        <v>18</v>
      </c>
      <c r="E31" s="44">
        <v>18</v>
      </c>
      <c r="F31" s="44">
        <v>18</v>
      </c>
      <c r="G31" s="44">
        <v>18</v>
      </c>
      <c r="H31" s="44">
        <v>18</v>
      </c>
    </row>
    <row r="32" spans="1:8" x14ac:dyDescent="0.45">
      <c r="A32" s="42" t="s">
        <v>241</v>
      </c>
      <c r="B32" s="42" t="s">
        <v>242</v>
      </c>
      <c r="C32" s="42" t="s">
        <v>237</v>
      </c>
      <c r="D32" s="44">
        <v>84</v>
      </c>
      <c r="E32" s="44">
        <v>84</v>
      </c>
      <c r="F32" s="44">
        <v>84</v>
      </c>
      <c r="G32" s="44">
        <v>84</v>
      </c>
      <c r="H32" s="44">
        <v>84</v>
      </c>
    </row>
    <row r="33" spans="1:8" x14ac:dyDescent="0.45">
      <c r="A33" s="42" t="s">
        <v>35</v>
      </c>
      <c r="B33" s="42" t="s">
        <v>223</v>
      </c>
      <c r="C33" s="42" t="s">
        <v>237</v>
      </c>
      <c r="D33" s="44">
        <v>1</v>
      </c>
      <c r="E33" s="44">
        <v>1</v>
      </c>
      <c r="F33" s="44">
        <v>1</v>
      </c>
      <c r="G33" s="44">
        <v>1</v>
      </c>
      <c r="H33" s="44">
        <v>1</v>
      </c>
    </row>
    <row r="34" spans="1:8" x14ac:dyDescent="0.45">
      <c r="A34" s="42" t="s">
        <v>36</v>
      </c>
      <c r="B34" s="42" t="s">
        <v>243</v>
      </c>
      <c r="C34" s="42" t="s">
        <v>240</v>
      </c>
      <c r="D34" s="42" t="s">
        <v>65</v>
      </c>
      <c r="E34" s="42" t="s">
        <v>65</v>
      </c>
      <c r="F34" s="44">
        <v>8</v>
      </c>
      <c r="G34" s="44">
        <v>8</v>
      </c>
      <c r="H34" s="44">
        <v>8</v>
      </c>
    </row>
    <row r="35" spans="1:8" x14ac:dyDescent="0.45">
      <c r="A35" s="42" t="s">
        <v>37</v>
      </c>
      <c r="B35" s="42" t="s">
        <v>222</v>
      </c>
      <c r="C35" s="42" t="s">
        <v>213</v>
      </c>
      <c r="D35" s="42" t="s">
        <v>65</v>
      </c>
      <c r="E35" s="42" t="s">
        <v>65</v>
      </c>
      <c r="F35" s="44">
        <v>147</v>
      </c>
      <c r="G35" s="44">
        <v>147</v>
      </c>
      <c r="H35" s="44">
        <v>147</v>
      </c>
    </row>
    <row r="36" spans="1:8" x14ac:dyDescent="0.45">
      <c r="A36" s="42" t="s">
        <v>244</v>
      </c>
      <c r="B36" s="42" t="s">
        <v>245</v>
      </c>
      <c r="C36" s="42" t="s">
        <v>213</v>
      </c>
      <c r="D36" s="42" t="s">
        <v>65</v>
      </c>
      <c r="E36" s="42" t="s">
        <v>65</v>
      </c>
      <c r="F36" s="42" t="s">
        <v>65</v>
      </c>
      <c r="G36" s="42" t="s">
        <v>65</v>
      </c>
      <c r="H36" s="44">
        <v>100</v>
      </c>
    </row>
    <row r="37" spans="1:8" x14ac:dyDescent="0.45">
      <c r="A37" s="48" t="s">
        <v>246</v>
      </c>
      <c r="B37" s="49"/>
      <c r="C37" s="49"/>
      <c r="D37" s="52">
        <v>214</v>
      </c>
      <c r="E37" s="52">
        <v>214</v>
      </c>
      <c r="F37" s="52">
        <v>372</v>
      </c>
      <c r="G37" s="52">
        <v>372</v>
      </c>
      <c r="H37" s="52">
        <v>472</v>
      </c>
    </row>
    <row r="38" spans="1:8" x14ac:dyDescent="0.45">
      <c r="A38" s="48" t="s">
        <v>247</v>
      </c>
      <c r="B38" s="49"/>
      <c r="C38" s="49"/>
      <c r="D38" s="50">
        <v>7116</v>
      </c>
      <c r="E38" s="50">
        <v>7116</v>
      </c>
      <c r="F38" s="50">
        <v>8713</v>
      </c>
      <c r="G38" s="50">
        <v>9761</v>
      </c>
      <c r="H38" s="50">
        <v>9861</v>
      </c>
    </row>
    <row r="39" spans="1:8" x14ac:dyDescent="0.45">
      <c r="A39" s="45" t="s">
        <v>41</v>
      </c>
      <c r="B39" s="46"/>
      <c r="C39" s="46"/>
      <c r="D39" s="46"/>
      <c r="E39" s="46"/>
      <c r="F39" s="46"/>
      <c r="G39" s="46"/>
      <c r="H39" s="47"/>
    </row>
    <row r="40" spans="1:8" x14ac:dyDescent="0.45">
      <c r="A40" s="42" t="s">
        <v>42</v>
      </c>
      <c r="B40" s="42" t="s">
        <v>248</v>
      </c>
      <c r="C40" s="42" t="s">
        <v>249</v>
      </c>
      <c r="D40" s="44">
        <v>880</v>
      </c>
      <c r="E40" s="44">
        <v>880</v>
      </c>
      <c r="F40" s="44">
        <v>880</v>
      </c>
      <c r="G40" s="44">
        <v>880</v>
      </c>
      <c r="H40" s="44">
        <v>880</v>
      </c>
    </row>
    <row r="41" spans="1:8" x14ac:dyDescent="0.45">
      <c r="A41" s="42" t="s">
        <v>45</v>
      </c>
      <c r="B41" s="42" t="s">
        <v>250</v>
      </c>
      <c r="C41" s="42" t="s">
        <v>251</v>
      </c>
      <c r="D41" s="44">
        <v>144</v>
      </c>
      <c r="E41" s="44">
        <v>144</v>
      </c>
      <c r="F41" s="44">
        <v>144</v>
      </c>
      <c r="G41" s="44">
        <v>144</v>
      </c>
      <c r="H41" s="44">
        <v>0</v>
      </c>
    </row>
    <row r="42" spans="1:8" x14ac:dyDescent="0.45">
      <c r="A42" s="42" t="s">
        <v>252</v>
      </c>
      <c r="B42" s="42" t="s">
        <v>253</v>
      </c>
      <c r="C42" s="42" t="s">
        <v>249</v>
      </c>
      <c r="D42" s="44">
        <v>640</v>
      </c>
      <c r="E42" s="44">
        <v>640</v>
      </c>
      <c r="F42" s="44">
        <v>640</v>
      </c>
      <c r="G42" s="44">
        <v>640</v>
      </c>
      <c r="H42" s="44">
        <v>0</v>
      </c>
    </row>
    <row r="43" spans="1:8" x14ac:dyDescent="0.45">
      <c r="A43" s="42" t="s">
        <v>254</v>
      </c>
      <c r="B43" s="42" t="s">
        <v>253</v>
      </c>
      <c r="C43" s="42" t="s">
        <v>255</v>
      </c>
      <c r="D43" s="44">
        <v>600</v>
      </c>
      <c r="E43" s="44">
        <v>600</v>
      </c>
      <c r="F43" s="44">
        <v>600</v>
      </c>
      <c r="G43" s="44">
        <v>600</v>
      </c>
      <c r="H43" s="44">
        <v>600</v>
      </c>
    </row>
    <row r="44" spans="1:8" x14ac:dyDescent="0.45">
      <c r="A44" s="42" t="s">
        <v>256</v>
      </c>
      <c r="B44" s="42" t="s">
        <v>253</v>
      </c>
      <c r="C44" s="42" t="s">
        <v>257</v>
      </c>
      <c r="D44" s="44">
        <v>415</v>
      </c>
      <c r="E44" s="44">
        <v>415</v>
      </c>
      <c r="F44" s="44">
        <v>415</v>
      </c>
      <c r="G44" s="44">
        <v>415</v>
      </c>
      <c r="H44" s="44">
        <v>415</v>
      </c>
    </row>
    <row r="45" spans="1:8" x14ac:dyDescent="0.45">
      <c r="A45" s="42" t="s">
        <v>258</v>
      </c>
      <c r="B45" s="42" t="s">
        <v>253</v>
      </c>
      <c r="C45" s="42" t="s">
        <v>259</v>
      </c>
      <c r="D45" s="44">
        <v>747</v>
      </c>
      <c r="E45" s="44">
        <v>747</v>
      </c>
      <c r="F45" s="44">
        <v>747</v>
      </c>
      <c r="G45" s="44">
        <v>747</v>
      </c>
      <c r="H45" s="44">
        <v>747</v>
      </c>
    </row>
    <row r="46" spans="1:8" x14ac:dyDescent="0.45">
      <c r="A46" s="42" t="s">
        <v>53</v>
      </c>
      <c r="B46" s="42" t="s">
        <v>260</v>
      </c>
      <c r="C46" s="42" t="s">
        <v>261</v>
      </c>
      <c r="D46" s="44">
        <v>28</v>
      </c>
      <c r="E46" s="44">
        <v>28</v>
      </c>
      <c r="F46" s="44">
        <v>0</v>
      </c>
      <c r="G46" s="44">
        <v>0</v>
      </c>
      <c r="H46" s="44">
        <v>28</v>
      </c>
    </row>
    <row r="47" spans="1:8" x14ac:dyDescent="0.45">
      <c r="A47" s="42" t="s">
        <v>54</v>
      </c>
      <c r="B47" s="42" t="s">
        <v>262</v>
      </c>
      <c r="C47" s="42" t="s">
        <v>249</v>
      </c>
      <c r="D47" s="43">
        <v>1350</v>
      </c>
      <c r="E47" s="43">
        <v>1350</v>
      </c>
      <c r="F47" s="43">
        <v>1350</v>
      </c>
      <c r="G47" s="43">
        <v>1350</v>
      </c>
      <c r="H47" s="43">
        <v>1350</v>
      </c>
    </row>
    <row r="48" spans="1:8" x14ac:dyDescent="0.45">
      <c r="A48" s="42" t="s">
        <v>55</v>
      </c>
      <c r="B48" s="42" t="s">
        <v>263</v>
      </c>
      <c r="C48" s="42" t="s">
        <v>249</v>
      </c>
      <c r="D48" s="44">
        <v>132</v>
      </c>
      <c r="E48" s="44">
        <v>132</v>
      </c>
      <c r="F48" s="44">
        <v>0</v>
      </c>
      <c r="G48" s="44">
        <v>0</v>
      </c>
      <c r="H48" s="44">
        <v>0</v>
      </c>
    </row>
    <row r="49" spans="1:8" x14ac:dyDescent="0.45">
      <c r="A49" s="42" t="s">
        <v>56</v>
      </c>
      <c r="B49" s="42" t="s">
        <v>263</v>
      </c>
      <c r="C49" s="42" t="s">
        <v>255</v>
      </c>
      <c r="D49" s="44">
        <v>244</v>
      </c>
      <c r="E49" s="44">
        <v>244</v>
      </c>
      <c r="F49" s="44">
        <v>144</v>
      </c>
      <c r="G49" s="44">
        <v>144</v>
      </c>
      <c r="H49" s="44">
        <v>144</v>
      </c>
    </row>
    <row r="50" spans="1:8" x14ac:dyDescent="0.45">
      <c r="A50" s="42" t="s">
        <v>57</v>
      </c>
      <c r="B50" s="42" t="s">
        <v>264</v>
      </c>
      <c r="C50" s="42" t="s">
        <v>255</v>
      </c>
      <c r="D50" s="44">
        <v>567</v>
      </c>
      <c r="E50" s="44">
        <v>567</v>
      </c>
      <c r="F50" s="44">
        <v>567</v>
      </c>
      <c r="G50" s="44">
        <v>567</v>
      </c>
      <c r="H50" s="44">
        <v>567</v>
      </c>
    </row>
    <row r="51" spans="1:8" x14ac:dyDescent="0.45">
      <c r="A51" s="42" t="s">
        <v>58</v>
      </c>
      <c r="B51" s="42" t="s">
        <v>265</v>
      </c>
      <c r="C51" s="42" t="s">
        <v>249</v>
      </c>
      <c r="D51" s="44">
        <v>150</v>
      </c>
      <c r="E51" s="44">
        <v>150</v>
      </c>
      <c r="F51" s="44">
        <v>150</v>
      </c>
      <c r="G51" s="44">
        <v>150</v>
      </c>
      <c r="H51" s="44">
        <v>150</v>
      </c>
    </row>
    <row r="52" spans="1:8" x14ac:dyDescent="0.45">
      <c r="A52" s="53" t="s">
        <v>266</v>
      </c>
      <c r="B52" s="49"/>
      <c r="C52" s="49"/>
      <c r="D52" s="54">
        <v>5897</v>
      </c>
      <c r="E52" s="54">
        <v>5897</v>
      </c>
      <c r="F52" s="54">
        <v>5637</v>
      </c>
      <c r="G52" s="54">
        <v>5637</v>
      </c>
      <c r="H52" s="54">
        <v>4881</v>
      </c>
    </row>
    <row r="53" spans="1:8" x14ac:dyDescent="0.45">
      <c r="A53" s="45" t="s">
        <v>61</v>
      </c>
      <c r="B53" s="46"/>
      <c r="C53" s="46"/>
      <c r="D53" s="46"/>
      <c r="E53" s="46"/>
      <c r="F53" s="46"/>
      <c r="G53" s="46"/>
      <c r="H53" s="47"/>
    </row>
    <row r="54" spans="1:8" x14ac:dyDescent="0.45">
      <c r="A54" s="55" t="s">
        <v>62</v>
      </c>
      <c r="B54" s="55" t="s">
        <v>267</v>
      </c>
      <c r="C54" s="55" t="s">
        <v>268</v>
      </c>
      <c r="D54" s="56">
        <v>362</v>
      </c>
      <c r="E54" s="56">
        <v>362</v>
      </c>
      <c r="F54" s="56">
        <v>362</v>
      </c>
      <c r="G54" s="56">
        <v>362</v>
      </c>
      <c r="H54" s="56">
        <v>362</v>
      </c>
    </row>
    <row r="55" spans="1:8" x14ac:dyDescent="0.45">
      <c r="A55" s="55" t="s">
        <v>64</v>
      </c>
      <c r="B55" s="55" t="s">
        <v>267</v>
      </c>
      <c r="C55" s="55" t="s">
        <v>268</v>
      </c>
      <c r="D55" s="56">
        <v>365</v>
      </c>
      <c r="E55" s="56">
        <v>365</v>
      </c>
      <c r="F55" s="56">
        <v>365</v>
      </c>
      <c r="G55" s="56">
        <v>365</v>
      </c>
      <c r="H55" s="56">
        <v>365</v>
      </c>
    </row>
    <row r="56" spans="1:8" x14ac:dyDescent="0.45">
      <c r="A56" s="55" t="s">
        <v>66</v>
      </c>
      <c r="B56" s="55" t="s">
        <v>269</v>
      </c>
      <c r="C56" s="55" t="s">
        <v>270</v>
      </c>
      <c r="D56" s="56">
        <v>31</v>
      </c>
      <c r="E56" s="56">
        <v>31</v>
      </c>
      <c r="F56" s="56">
        <v>31</v>
      </c>
      <c r="G56" s="56">
        <v>31</v>
      </c>
      <c r="H56" s="56">
        <v>31</v>
      </c>
    </row>
    <row r="57" spans="1:8" x14ac:dyDescent="0.45">
      <c r="A57" s="55" t="s">
        <v>67</v>
      </c>
      <c r="B57" s="55" t="s">
        <v>271</v>
      </c>
      <c r="C57" s="55" t="s">
        <v>272</v>
      </c>
      <c r="D57" s="56">
        <v>157</v>
      </c>
      <c r="E57" s="56">
        <v>157</v>
      </c>
      <c r="F57" s="56">
        <v>170</v>
      </c>
      <c r="G57" s="56">
        <v>170</v>
      </c>
      <c r="H57" s="56">
        <v>170</v>
      </c>
    </row>
    <row r="58" spans="1:8" x14ac:dyDescent="0.45">
      <c r="A58" s="55" t="s">
        <v>68</v>
      </c>
      <c r="B58" s="55" t="s">
        <v>260</v>
      </c>
      <c r="C58" s="55" t="s">
        <v>272</v>
      </c>
      <c r="D58" s="56">
        <v>140</v>
      </c>
      <c r="E58" s="56">
        <v>140</v>
      </c>
      <c r="F58" s="56">
        <v>155</v>
      </c>
      <c r="G58" s="56">
        <v>155</v>
      </c>
      <c r="H58" s="56">
        <v>155</v>
      </c>
    </row>
    <row r="59" spans="1:8" x14ac:dyDescent="0.45">
      <c r="A59" s="55" t="s">
        <v>69</v>
      </c>
      <c r="B59" s="55" t="s">
        <v>273</v>
      </c>
      <c r="C59" s="55" t="s">
        <v>249</v>
      </c>
      <c r="D59" s="56">
        <v>1292</v>
      </c>
      <c r="E59" s="56">
        <v>1292</v>
      </c>
      <c r="F59" s="56">
        <v>1292</v>
      </c>
      <c r="G59" s="56">
        <v>1292</v>
      </c>
      <c r="H59" s="56">
        <v>1292</v>
      </c>
    </row>
    <row r="60" spans="1:8" x14ac:dyDescent="0.45">
      <c r="A60" s="55" t="s">
        <v>274</v>
      </c>
      <c r="B60" s="55" t="s">
        <v>275</v>
      </c>
      <c r="C60" s="55" t="s">
        <v>276</v>
      </c>
      <c r="D60" s="56">
        <v>135</v>
      </c>
      <c r="E60" s="56">
        <v>135</v>
      </c>
      <c r="F60" s="56">
        <v>120</v>
      </c>
      <c r="G60" s="56">
        <v>120</v>
      </c>
      <c r="H60" s="56">
        <v>120</v>
      </c>
    </row>
    <row r="61" spans="1:8" x14ac:dyDescent="0.45">
      <c r="A61" s="55" t="s">
        <v>70</v>
      </c>
      <c r="B61" s="55" t="s">
        <v>277</v>
      </c>
      <c r="C61" s="55" t="s">
        <v>278</v>
      </c>
      <c r="D61" s="56">
        <v>1600</v>
      </c>
      <c r="E61" s="56">
        <v>1600</v>
      </c>
      <c r="F61" s="56">
        <v>1600</v>
      </c>
      <c r="G61" s="56">
        <v>1600</v>
      </c>
      <c r="H61" s="56">
        <v>1600</v>
      </c>
    </row>
    <row r="62" spans="1:8" x14ac:dyDescent="0.45">
      <c r="A62" s="55" t="s">
        <v>72</v>
      </c>
      <c r="B62" s="55" t="s">
        <v>275</v>
      </c>
      <c r="C62" s="55" t="s">
        <v>279</v>
      </c>
      <c r="D62" s="56">
        <v>131</v>
      </c>
      <c r="E62" s="56">
        <v>131</v>
      </c>
      <c r="F62" s="56">
        <v>131</v>
      </c>
      <c r="G62" s="56">
        <v>131</v>
      </c>
      <c r="H62" s="56">
        <v>131</v>
      </c>
    </row>
    <row r="63" spans="1:8" x14ac:dyDescent="0.45">
      <c r="A63" s="55" t="s">
        <v>73</v>
      </c>
      <c r="B63" s="55" t="s">
        <v>280</v>
      </c>
      <c r="C63" s="55" t="s">
        <v>281</v>
      </c>
      <c r="D63" s="56">
        <v>450</v>
      </c>
      <c r="E63" s="56">
        <v>450</v>
      </c>
      <c r="F63" s="56">
        <v>450</v>
      </c>
      <c r="G63" s="56">
        <v>450</v>
      </c>
      <c r="H63" s="56">
        <v>450</v>
      </c>
    </row>
    <row r="64" spans="1:8" x14ac:dyDescent="0.45">
      <c r="A64" s="55" t="s">
        <v>74</v>
      </c>
      <c r="B64" s="55" t="s">
        <v>282</v>
      </c>
      <c r="C64" s="55" t="s">
        <v>268</v>
      </c>
      <c r="D64" s="56">
        <v>134</v>
      </c>
      <c r="E64" s="56">
        <v>134</v>
      </c>
      <c r="F64" s="56">
        <v>136</v>
      </c>
      <c r="G64" s="56">
        <v>136</v>
      </c>
      <c r="H64" s="56">
        <v>136</v>
      </c>
    </row>
    <row r="65" spans="1:8" x14ac:dyDescent="0.45">
      <c r="A65" s="55" t="s">
        <v>283</v>
      </c>
      <c r="B65" s="55" t="s">
        <v>275</v>
      </c>
      <c r="C65" s="55" t="s">
        <v>284</v>
      </c>
      <c r="D65" s="56">
        <v>136</v>
      </c>
      <c r="E65" s="56">
        <v>136</v>
      </c>
      <c r="F65" s="56">
        <v>117</v>
      </c>
      <c r="G65" s="56">
        <v>117</v>
      </c>
      <c r="H65" s="56">
        <v>117</v>
      </c>
    </row>
    <row r="66" spans="1:8" x14ac:dyDescent="0.45">
      <c r="A66" s="55" t="s">
        <v>75</v>
      </c>
      <c r="B66" s="55" t="s">
        <v>285</v>
      </c>
      <c r="C66" s="55" t="s">
        <v>272</v>
      </c>
      <c r="D66" s="56">
        <v>235</v>
      </c>
      <c r="E66" s="56">
        <v>235</v>
      </c>
      <c r="F66" s="56">
        <v>235</v>
      </c>
      <c r="G66" s="56">
        <v>235</v>
      </c>
      <c r="H66" s="56">
        <v>235</v>
      </c>
    </row>
    <row r="67" spans="1:8" x14ac:dyDescent="0.45">
      <c r="A67" s="55" t="s">
        <v>76</v>
      </c>
      <c r="B67" s="55" t="s">
        <v>286</v>
      </c>
      <c r="C67" s="55" t="s">
        <v>281</v>
      </c>
      <c r="D67" s="56">
        <v>586</v>
      </c>
      <c r="E67" s="56">
        <v>586</v>
      </c>
      <c r="F67" s="56">
        <v>586</v>
      </c>
      <c r="G67" s="56">
        <v>586</v>
      </c>
      <c r="H67" s="56">
        <v>586</v>
      </c>
    </row>
    <row r="68" spans="1:8" x14ac:dyDescent="0.45">
      <c r="A68" s="55" t="s">
        <v>77</v>
      </c>
      <c r="B68" s="55" t="s">
        <v>287</v>
      </c>
      <c r="C68" s="55" t="s">
        <v>288</v>
      </c>
      <c r="D68" s="56">
        <v>165</v>
      </c>
      <c r="E68" s="56">
        <v>165</v>
      </c>
      <c r="F68" s="56">
        <v>165</v>
      </c>
      <c r="G68" s="56">
        <v>165</v>
      </c>
      <c r="H68" s="56">
        <v>165</v>
      </c>
    </row>
    <row r="69" spans="1:8" x14ac:dyDescent="0.45">
      <c r="A69" s="55" t="s">
        <v>78</v>
      </c>
      <c r="B69" s="55" t="s">
        <v>289</v>
      </c>
      <c r="C69" s="55" t="s">
        <v>290</v>
      </c>
      <c r="D69" s="56">
        <v>219</v>
      </c>
      <c r="E69" s="56">
        <v>219</v>
      </c>
      <c r="F69" s="56">
        <v>224</v>
      </c>
      <c r="G69" s="56">
        <v>224</v>
      </c>
      <c r="H69" s="56">
        <v>224</v>
      </c>
    </row>
    <row r="70" spans="1:8" x14ac:dyDescent="0.45">
      <c r="A70" s="55" t="s">
        <v>291</v>
      </c>
      <c r="B70" s="55" t="s">
        <v>292</v>
      </c>
      <c r="C70" s="55" t="s">
        <v>293</v>
      </c>
      <c r="D70" s="56">
        <v>217</v>
      </c>
      <c r="E70" s="56">
        <v>217</v>
      </c>
      <c r="F70" s="56">
        <v>227</v>
      </c>
      <c r="G70" s="56">
        <v>227</v>
      </c>
      <c r="H70" s="56">
        <v>227</v>
      </c>
    </row>
    <row r="71" spans="1:8" x14ac:dyDescent="0.45">
      <c r="A71" s="55" t="s">
        <v>80</v>
      </c>
      <c r="B71" s="55" t="s">
        <v>294</v>
      </c>
      <c r="C71" s="55" t="s">
        <v>281</v>
      </c>
      <c r="D71" s="56">
        <v>210</v>
      </c>
      <c r="E71" s="56">
        <v>210</v>
      </c>
      <c r="F71" s="56">
        <v>225</v>
      </c>
      <c r="G71" s="56">
        <v>225</v>
      </c>
      <c r="H71" s="56">
        <v>225</v>
      </c>
    </row>
    <row r="72" spans="1:8" x14ac:dyDescent="0.45">
      <c r="A72" s="55" t="s">
        <v>81</v>
      </c>
      <c r="B72" s="55" t="s">
        <v>295</v>
      </c>
      <c r="C72" s="55" t="s">
        <v>281</v>
      </c>
      <c r="D72" s="56">
        <v>225</v>
      </c>
      <c r="E72" s="56">
        <v>225</v>
      </c>
      <c r="F72" s="56">
        <v>225</v>
      </c>
      <c r="G72" s="56">
        <v>225</v>
      </c>
      <c r="H72" s="56">
        <v>225</v>
      </c>
    </row>
    <row r="73" spans="1:8" x14ac:dyDescent="0.45">
      <c r="A73" s="55" t="s">
        <v>82</v>
      </c>
      <c r="B73" s="55" t="s">
        <v>296</v>
      </c>
      <c r="C73" s="55" t="s">
        <v>290</v>
      </c>
      <c r="D73" s="56">
        <v>200</v>
      </c>
      <c r="E73" s="56">
        <v>200</v>
      </c>
      <c r="F73" s="56">
        <v>202</v>
      </c>
      <c r="G73" s="56">
        <v>202</v>
      </c>
      <c r="H73" s="56">
        <v>202</v>
      </c>
    </row>
    <row r="74" spans="1:8" x14ac:dyDescent="0.45">
      <c r="A74" s="55" t="s">
        <v>83</v>
      </c>
      <c r="B74" s="55" t="s">
        <v>296</v>
      </c>
      <c r="C74" s="55" t="s">
        <v>279</v>
      </c>
      <c r="D74" s="56">
        <v>200</v>
      </c>
      <c r="E74" s="56">
        <v>200</v>
      </c>
      <c r="F74" s="56">
        <v>202</v>
      </c>
      <c r="G74" s="56">
        <v>202</v>
      </c>
      <c r="H74" s="56">
        <v>202</v>
      </c>
    </row>
    <row r="75" spans="1:8" x14ac:dyDescent="0.45">
      <c r="A75" s="55" t="s">
        <v>84</v>
      </c>
      <c r="B75" s="55" t="s">
        <v>297</v>
      </c>
      <c r="C75" s="55" t="s">
        <v>281</v>
      </c>
      <c r="D75" s="56">
        <v>235</v>
      </c>
      <c r="E75" s="56">
        <v>235</v>
      </c>
      <c r="F75" s="56">
        <v>235</v>
      </c>
      <c r="G75" s="56">
        <v>235</v>
      </c>
      <c r="H75" s="56">
        <v>235</v>
      </c>
    </row>
    <row r="76" spans="1:8" x14ac:dyDescent="0.45">
      <c r="A76" s="55" t="s">
        <v>85</v>
      </c>
      <c r="B76" s="55" t="s">
        <v>298</v>
      </c>
      <c r="C76" s="55" t="s">
        <v>281</v>
      </c>
      <c r="D76" s="56">
        <v>225</v>
      </c>
      <c r="E76" s="56">
        <v>225</v>
      </c>
      <c r="F76" s="56">
        <v>225</v>
      </c>
      <c r="G76" s="56">
        <v>225</v>
      </c>
      <c r="H76" s="56">
        <v>225</v>
      </c>
    </row>
    <row r="77" spans="1:8" x14ac:dyDescent="0.45">
      <c r="A77" s="55" t="s">
        <v>86</v>
      </c>
      <c r="B77" s="55" t="s">
        <v>299</v>
      </c>
      <c r="C77" s="55" t="s">
        <v>279</v>
      </c>
      <c r="D77" s="56">
        <v>214</v>
      </c>
      <c r="E77" s="56">
        <v>214</v>
      </c>
      <c r="F77" s="56">
        <v>214</v>
      </c>
      <c r="G77" s="56">
        <v>214</v>
      </c>
      <c r="H77" s="56">
        <v>214</v>
      </c>
    </row>
    <row r="78" spans="1:8" x14ac:dyDescent="0.45">
      <c r="A78" s="55" t="s">
        <v>87</v>
      </c>
      <c r="B78" s="55" t="s">
        <v>263</v>
      </c>
      <c r="C78" s="55" t="s">
        <v>279</v>
      </c>
      <c r="D78" s="56">
        <v>202</v>
      </c>
      <c r="E78" s="56">
        <v>202</v>
      </c>
      <c r="F78" s="56">
        <v>202</v>
      </c>
      <c r="G78" s="56">
        <v>202</v>
      </c>
      <c r="H78" s="56">
        <v>202</v>
      </c>
    </row>
    <row r="79" spans="1:8" x14ac:dyDescent="0.45">
      <c r="A79" s="55" t="s">
        <v>88</v>
      </c>
      <c r="B79" s="55" t="s">
        <v>285</v>
      </c>
      <c r="C79" s="55" t="s">
        <v>293</v>
      </c>
      <c r="D79" s="56">
        <v>185</v>
      </c>
      <c r="E79" s="56">
        <v>185</v>
      </c>
      <c r="F79" s="56">
        <v>179</v>
      </c>
      <c r="G79" s="56">
        <v>179</v>
      </c>
      <c r="H79" s="56">
        <v>179</v>
      </c>
    </row>
    <row r="80" spans="1:8" x14ac:dyDescent="0.45">
      <c r="A80" s="55" t="s">
        <v>300</v>
      </c>
      <c r="B80" s="55" t="s">
        <v>301</v>
      </c>
      <c r="C80" s="55" t="s">
        <v>270</v>
      </c>
      <c r="D80" s="56">
        <v>11</v>
      </c>
      <c r="E80" s="56">
        <v>14</v>
      </c>
      <c r="F80" s="56">
        <v>12</v>
      </c>
      <c r="G80" s="56">
        <v>12</v>
      </c>
      <c r="H80" s="56">
        <v>12</v>
      </c>
    </row>
    <row r="81" spans="1:8" x14ac:dyDescent="0.45">
      <c r="A81" s="55" t="s">
        <v>90</v>
      </c>
      <c r="B81" s="55" t="s">
        <v>286</v>
      </c>
      <c r="C81" s="55" t="s">
        <v>281</v>
      </c>
      <c r="D81" s="56">
        <v>381</v>
      </c>
      <c r="E81" s="56">
        <v>381</v>
      </c>
      <c r="F81" s="56">
        <v>404</v>
      </c>
      <c r="G81" s="56">
        <v>404</v>
      </c>
      <c r="H81" s="56">
        <v>404</v>
      </c>
    </row>
    <row r="82" spans="1:8" x14ac:dyDescent="0.45">
      <c r="A82" s="55" t="s">
        <v>92</v>
      </c>
      <c r="B82" s="55" t="s">
        <v>294</v>
      </c>
      <c r="C82" s="55" t="s">
        <v>249</v>
      </c>
      <c r="D82" s="56">
        <v>0</v>
      </c>
      <c r="E82" s="56">
        <v>660</v>
      </c>
      <c r="F82" s="56">
        <v>1320</v>
      </c>
      <c r="G82" s="56">
        <v>1320</v>
      </c>
      <c r="H82" s="56">
        <v>1320</v>
      </c>
    </row>
    <row r="83" spans="1:8" x14ac:dyDescent="0.45">
      <c r="A83" s="55" t="s">
        <v>94</v>
      </c>
      <c r="B83" s="55" t="s">
        <v>298</v>
      </c>
      <c r="C83" s="55" t="s">
        <v>302</v>
      </c>
      <c r="D83" s="56">
        <v>0</v>
      </c>
      <c r="E83" s="56">
        <v>832</v>
      </c>
      <c r="F83" s="56">
        <v>1231</v>
      </c>
      <c r="G83" s="56">
        <v>1231</v>
      </c>
      <c r="H83" s="56">
        <v>1231</v>
      </c>
    </row>
    <row r="84" spans="1:8" x14ac:dyDescent="0.45">
      <c r="A84" s="55" t="s">
        <v>303</v>
      </c>
      <c r="B84" s="55" t="s">
        <v>304</v>
      </c>
      <c r="C84" s="55" t="s">
        <v>302</v>
      </c>
      <c r="D84" s="56">
        <v>0</v>
      </c>
      <c r="E84" s="56">
        <v>428</v>
      </c>
      <c r="F84" s="56">
        <v>1277</v>
      </c>
      <c r="G84" s="56">
        <v>1277</v>
      </c>
      <c r="H84" s="56">
        <v>1277</v>
      </c>
    </row>
    <row r="85" spans="1:8" x14ac:dyDescent="0.45">
      <c r="A85" s="55" t="s">
        <v>97</v>
      </c>
      <c r="B85" s="55" t="s">
        <v>295</v>
      </c>
      <c r="C85" s="55" t="s">
        <v>302</v>
      </c>
      <c r="D85" s="56">
        <v>0</v>
      </c>
      <c r="E85" s="56">
        <v>0</v>
      </c>
      <c r="F85" s="56">
        <v>1276</v>
      </c>
      <c r="G85" s="56">
        <v>1276</v>
      </c>
      <c r="H85" s="56">
        <v>1276</v>
      </c>
    </row>
    <row r="86" spans="1:8" x14ac:dyDescent="0.45">
      <c r="A86" s="55" t="s">
        <v>305</v>
      </c>
      <c r="B86" s="55" t="s">
        <v>306</v>
      </c>
      <c r="C86" s="55" t="s">
        <v>307</v>
      </c>
      <c r="D86" s="56">
        <v>0</v>
      </c>
      <c r="E86" s="56">
        <v>0</v>
      </c>
      <c r="F86" s="56">
        <v>1320</v>
      </c>
      <c r="G86" s="56">
        <v>1320</v>
      </c>
      <c r="H86" s="56">
        <v>1320</v>
      </c>
    </row>
    <row r="87" spans="1:8" x14ac:dyDescent="0.45">
      <c r="A87" s="55" t="s">
        <v>99</v>
      </c>
      <c r="B87" s="55" t="s">
        <v>275</v>
      </c>
      <c r="C87" s="55" t="s">
        <v>308</v>
      </c>
      <c r="D87" s="56">
        <v>0</v>
      </c>
      <c r="E87" s="56">
        <v>0</v>
      </c>
      <c r="F87" s="56">
        <v>97</v>
      </c>
      <c r="G87" s="56">
        <v>97</v>
      </c>
      <c r="H87" s="56">
        <v>97</v>
      </c>
    </row>
    <row r="88" spans="1:8" x14ac:dyDescent="0.45">
      <c r="A88" s="55" t="s">
        <v>101</v>
      </c>
      <c r="B88" s="55" t="s">
        <v>264</v>
      </c>
      <c r="C88" s="55" t="s">
        <v>308</v>
      </c>
      <c r="D88" s="56">
        <v>0</v>
      </c>
      <c r="E88" s="56">
        <v>0</v>
      </c>
      <c r="F88" s="56">
        <v>84</v>
      </c>
      <c r="G88" s="56">
        <v>84</v>
      </c>
      <c r="H88" s="56">
        <v>84</v>
      </c>
    </row>
    <row r="89" spans="1:8" x14ac:dyDescent="0.45">
      <c r="A89" s="55" t="s">
        <v>102</v>
      </c>
      <c r="B89" s="55" t="s">
        <v>309</v>
      </c>
      <c r="C89" s="55" t="s">
        <v>307</v>
      </c>
      <c r="D89" s="56">
        <v>0</v>
      </c>
      <c r="E89" s="56">
        <v>0</v>
      </c>
      <c r="F89" s="56">
        <v>0</v>
      </c>
      <c r="G89" s="56">
        <v>1320</v>
      </c>
      <c r="H89" s="56">
        <v>1320</v>
      </c>
    </row>
    <row r="90" spans="1:8" x14ac:dyDescent="0.45">
      <c r="A90" s="55" t="s">
        <v>104</v>
      </c>
      <c r="B90" s="55" t="s">
        <v>310</v>
      </c>
      <c r="C90" s="55" t="s">
        <v>307</v>
      </c>
      <c r="D90" s="56">
        <v>0</v>
      </c>
      <c r="E90" s="56">
        <v>0</v>
      </c>
      <c r="F90" s="56">
        <v>0</v>
      </c>
      <c r="G90" s="56">
        <v>330</v>
      </c>
      <c r="H90" s="56">
        <v>660</v>
      </c>
    </row>
    <row r="91" spans="1:8" x14ac:dyDescent="0.45">
      <c r="A91" s="48" t="s">
        <v>311</v>
      </c>
      <c r="B91" s="49"/>
      <c r="C91" s="49"/>
      <c r="D91" s="50">
        <v>8643</v>
      </c>
      <c r="E91" s="50">
        <v>10566</v>
      </c>
      <c r="F91" s="50">
        <v>15297</v>
      </c>
      <c r="G91" s="50">
        <v>16946</v>
      </c>
      <c r="H91" s="50">
        <v>17276</v>
      </c>
    </row>
    <row r="92" spans="1:8" x14ac:dyDescent="0.45">
      <c r="A92" s="48" t="s">
        <v>312</v>
      </c>
      <c r="B92" s="49"/>
      <c r="C92" s="49"/>
      <c r="D92" s="50">
        <v>14540</v>
      </c>
      <c r="E92" s="50">
        <v>16463</v>
      </c>
      <c r="F92" s="50">
        <v>20934</v>
      </c>
      <c r="G92" s="50">
        <v>22583</v>
      </c>
      <c r="H92" s="50">
        <v>22157</v>
      </c>
    </row>
    <row r="93" spans="1:8" x14ac:dyDescent="0.45">
      <c r="A93" s="45" t="s">
        <v>107</v>
      </c>
      <c r="B93" s="46"/>
      <c r="C93" s="46"/>
      <c r="D93" s="46"/>
      <c r="E93" s="46"/>
      <c r="F93" s="46"/>
      <c r="G93" s="46"/>
      <c r="H93" s="47"/>
    </row>
    <row r="94" spans="1:8" x14ac:dyDescent="0.45">
      <c r="A94" s="42" t="s">
        <v>108</v>
      </c>
      <c r="B94" s="42" t="s">
        <v>216</v>
      </c>
      <c r="C94" s="42" t="s">
        <v>249</v>
      </c>
      <c r="D94" s="44">
        <v>300</v>
      </c>
      <c r="E94" s="44">
        <v>325</v>
      </c>
      <c r="F94" s="44">
        <v>325</v>
      </c>
      <c r="G94" s="44">
        <v>325</v>
      </c>
      <c r="H94" s="44">
        <v>325</v>
      </c>
    </row>
    <row r="95" spans="1:8" x14ac:dyDescent="0.45">
      <c r="A95" s="42" t="s">
        <v>110</v>
      </c>
      <c r="B95" s="42" t="s">
        <v>216</v>
      </c>
      <c r="C95" s="42" t="s">
        <v>249</v>
      </c>
      <c r="D95" s="44">
        <v>315</v>
      </c>
      <c r="E95" s="44">
        <v>340</v>
      </c>
      <c r="F95" s="44">
        <v>325</v>
      </c>
      <c r="G95" s="44">
        <v>325</v>
      </c>
      <c r="H95" s="44">
        <v>325</v>
      </c>
    </row>
    <row r="96" spans="1:8" x14ac:dyDescent="0.45">
      <c r="A96" s="42" t="s">
        <v>111</v>
      </c>
      <c r="B96" s="42" t="s">
        <v>216</v>
      </c>
      <c r="C96" s="42" t="s">
        <v>249</v>
      </c>
      <c r="D96" s="42" t="s">
        <v>65</v>
      </c>
      <c r="E96" s="44">
        <v>340</v>
      </c>
      <c r="F96" s="44">
        <v>340</v>
      </c>
      <c r="G96" s="44">
        <v>340</v>
      </c>
      <c r="H96" s="44">
        <v>340</v>
      </c>
    </row>
    <row r="97" spans="1:8" x14ac:dyDescent="0.45">
      <c r="A97" s="42" t="s">
        <v>112</v>
      </c>
      <c r="B97" s="42" t="s">
        <v>216</v>
      </c>
      <c r="C97" s="42" t="s">
        <v>249</v>
      </c>
      <c r="D97" s="42" t="s">
        <v>65</v>
      </c>
      <c r="E97" s="42" t="s">
        <v>65</v>
      </c>
      <c r="F97" s="44">
        <v>340</v>
      </c>
      <c r="G97" s="44">
        <v>340</v>
      </c>
      <c r="H97" s="44">
        <v>340</v>
      </c>
    </row>
    <row r="98" spans="1:8" x14ac:dyDescent="0.45">
      <c r="A98" s="42" t="s">
        <v>113</v>
      </c>
      <c r="B98" s="42" t="s">
        <v>313</v>
      </c>
      <c r="C98" s="42" t="s">
        <v>249</v>
      </c>
      <c r="D98" s="44">
        <v>137</v>
      </c>
      <c r="E98" s="44">
        <v>137</v>
      </c>
      <c r="F98" s="44">
        <v>137</v>
      </c>
      <c r="G98" s="44">
        <v>137</v>
      </c>
      <c r="H98" s="44">
        <v>137</v>
      </c>
    </row>
    <row r="99" spans="1:8" x14ac:dyDescent="0.45">
      <c r="A99" s="53" t="s">
        <v>114</v>
      </c>
      <c r="B99" s="49"/>
      <c r="C99" s="49"/>
      <c r="D99" s="57">
        <v>752</v>
      </c>
      <c r="E99" s="57">
        <v>1142</v>
      </c>
      <c r="F99" s="57">
        <v>1467</v>
      </c>
      <c r="G99" s="57">
        <v>1467</v>
      </c>
      <c r="H99" s="57">
        <v>1467</v>
      </c>
    </row>
    <row r="100" spans="1:8" x14ac:dyDescent="0.45">
      <c r="A100" s="45" t="s">
        <v>314</v>
      </c>
      <c r="B100" s="46"/>
      <c r="C100" s="46"/>
      <c r="D100" s="46"/>
      <c r="E100" s="46"/>
      <c r="F100" s="46"/>
      <c r="G100" s="46"/>
      <c r="H100" s="47"/>
    </row>
    <row r="101" spans="1:8" x14ac:dyDescent="0.45">
      <c r="A101" s="45" t="s">
        <v>315</v>
      </c>
      <c r="B101" s="46"/>
      <c r="C101" s="46"/>
      <c r="D101" s="46"/>
      <c r="E101" s="46"/>
      <c r="F101" s="46"/>
      <c r="G101" s="46"/>
      <c r="H101" s="47"/>
    </row>
    <row r="102" spans="1:8" x14ac:dyDescent="0.45">
      <c r="A102" s="42" t="s">
        <v>120</v>
      </c>
      <c r="B102" s="42" t="s">
        <v>316</v>
      </c>
      <c r="C102" s="42" t="s">
        <v>317</v>
      </c>
      <c r="D102" s="44">
        <v>56</v>
      </c>
      <c r="E102" s="44">
        <v>56</v>
      </c>
      <c r="F102" s="44">
        <v>56</v>
      </c>
      <c r="G102" s="44">
        <v>56</v>
      </c>
      <c r="H102" s="44">
        <v>56</v>
      </c>
    </row>
    <row r="103" spans="1:8" x14ac:dyDescent="0.45">
      <c r="A103" s="42" t="s">
        <v>122</v>
      </c>
      <c r="B103" s="42" t="s">
        <v>316</v>
      </c>
      <c r="C103" s="42" t="s">
        <v>317</v>
      </c>
      <c r="D103" s="44">
        <v>50</v>
      </c>
      <c r="E103" s="44">
        <v>50</v>
      </c>
      <c r="F103" s="44">
        <v>50</v>
      </c>
      <c r="G103" s="44">
        <v>50</v>
      </c>
      <c r="H103" s="44">
        <v>50</v>
      </c>
    </row>
    <row r="104" spans="1:8" x14ac:dyDescent="0.45">
      <c r="A104" s="42" t="s">
        <v>123</v>
      </c>
      <c r="B104" s="42" t="s">
        <v>316</v>
      </c>
      <c r="C104" s="42" t="s">
        <v>317</v>
      </c>
      <c r="D104" s="44">
        <v>50</v>
      </c>
      <c r="E104" s="44">
        <v>50</v>
      </c>
      <c r="F104" s="44">
        <v>60</v>
      </c>
      <c r="G104" s="44">
        <v>60</v>
      </c>
      <c r="H104" s="44">
        <v>60</v>
      </c>
    </row>
    <row r="105" spans="1:8" x14ac:dyDescent="0.45">
      <c r="A105" s="42" t="s">
        <v>124</v>
      </c>
      <c r="B105" s="42" t="s">
        <v>316</v>
      </c>
      <c r="C105" s="42" t="s">
        <v>317</v>
      </c>
      <c r="D105" s="44">
        <v>50</v>
      </c>
      <c r="E105" s="44">
        <v>50</v>
      </c>
      <c r="F105" s="44">
        <v>50</v>
      </c>
      <c r="G105" s="44">
        <v>50</v>
      </c>
      <c r="H105" s="44">
        <v>50</v>
      </c>
    </row>
    <row r="106" spans="1:8" x14ac:dyDescent="0.45">
      <c r="A106" s="42" t="s">
        <v>125</v>
      </c>
      <c r="B106" s="42" t="s">
        <v>316</v>
      </c>
      <c r="C106" s="42" t="s">
        <v>317</v>
      </c>
      <c r="D106" s="44">
        <v>50</v>
      </c>
      <c r="E106" s="44">
        <v>50</v>
      </c>
      <c r="F106" s="44">
        <v>50</v>
      </c>
      <c r="G106" s="44">
        <v>50</v>
      </c>
      <c r="H106" s="44">
        <v>50</v>
      </c>
    </row>
    <row r="107" spans="1:8" x14ac:dyDescent="0.45">
      <c r="A107" s="42" t="s">
        <v>126</v>
      </c>
      <c r="B107" s="42" t="s">
        <v>316</v>
      </c>
      <c r="C107" s="42" t="s">
        <v>317</v>
      </c>
      <c r="D107" s="44">
        <v>50</v>
      </c>
      <c r="E107" s="44">
        <v>50</v>
      </c>
      <c r="F107" s="44">
        <v>53</v>
      </c>
      <c r="G107" s="44">
        <v>53</v>
      </c>
      <c r="H107" s="44">
        <v>53</v>
      </c>
    </row>
    <row r="108" spans="1:8" x14ac:dyDescent="0.45">
      <c r="A108" s="42" t="s">
        <v>127</v>
      </c>
      <c r="B108" s="42" t="s">
        <v>316</v>
      </c>
      <c r="C108" s="42" t="s">
        <v>317</v>
      </c>
      <c r="D108" s="42" t="s">
        <v>65</v>
      </c>
      <c r="E108" s="44">
        <v>50</v>
      </c>
      <c r="F108" s="44">
        <v>50</v>
      </c>
      <c r="G108" s="44">
        <v>50</v>
      </c>
      <c r="H108" s="44">
        <v>50</v>
      </c>
    </row>
    <row r="109" spans="1:8" x14ac:dyDescent="0.45">
      <c r="A109" s="42" t="s">
        <v>129</v>
      </c>
      <c r="B109" s="42" t="s">
        <v>316</v>
      </c>
      <c r="C109" s="42" t="s">
        <v>317</v>
      </c>
      <c r="D109" s="42" t="s">
        <v>65</v>
      </c>
      <c r="E109" s="44">
        <v>50</v>
      </c>
      <c r="F109" s="44">
        <v>50</v>
      </c>
      <c r="G109" s="44">
        <v>50</v>
      </c>
      <c r="H109" s="44">
        <v>50</v>
      </c>
    </row>
    <row r="110" spans="1:8" x14ac:dyDescent="0.45">
      <c r="A110" s="42" t="s">
        <v>130</v>
      </c>
      <c r="B110" s="42" t="s">
        <v>316</v>
      </c>
      <c r="C110" s="42" t="s">
        <v>317</v>
      </c>
      <c r="D110" s="42" t="s">
        <v>65</v>
      </c>
      <c r="E110" s="44">
        <v>50</v>
      </c>
      <c r="F110" s="44">
        <v>50</v>
      </c>
      <c r="G110" s="44">
        <v>50</v>
      </c>
      <c r="H110" s="44">
        <v>50</v>
      </c>
    </row>
    <row r="111" spans="1:8" x14ac:dyDescent="0.45">
      <c r="A111" s="42" t="s">
        <v>131</v>
      </c>
      <c r="B111" s="42" t="s">
        <v>316</v>
      </c>
      <c r="C111" s="42" t="s">
        <v>317</v>
      </c>
      <c r="D111" s="42" t="s">
        <v>65</v>
      </c>
      <c r="E111" s="44">
        <v>50</v>
      </c>
      <c r="F111" s="44">
        <v>50</v>
      </c>
      <c r="G111" s="44">
        <v>50</v>
      </c>
      <c r="H111" s="44">
        <v>50</v>
      </c>
    </row>
    <row r="112" spans="1:8" x14ac:dyDescent="0.45">
      <c r="A112" s="42" t="s">
        <v>132</v>
      </c>
      <c r="B112" s="42" t="s">
        <v>316</v>
      </c>
      <c r="C112" s="42" t="s">
        <v>317</v>
      </c>
      <c r="D112" s="42" t="s">
        <v>65</v>
      </c>
      <c r="E112" s="44">
        <v>50</v>
      </c>
      <c r="F112" s="44">
        <v>50</v>
      </c>
      <c r="G112" s="44">
        <v>50</v>
      </c>
      <c r="H112" s="44">
        <v>50</v>
      </c>
    </row>
    <row r="113" spans="1:8" x14ac:dyDescent="0.45">
      <c r="A113" s="42" t="s">
        <v>133</v>
      </c>
      <c r="B113" s="42" t="s">
        <v>316</v>
      </c>
      <c r="C113" s="42" t="s">
        <v>317</v>
      </c>
      <c r="D113" s="42" t="s">
        <v>65</v>
      </c>
      <c r="E113" s="44">
        <v>50</v>
      </c>
      <c r="F113" s="44">
        <v>50</v>
      </c>
      <c r="G113" s="44">
        <v>50</v>
      </c>
      <c r="H113" s="44">
        <v>50</v>
      </c>
    </row>
    <row r="114" spans="1:8" x14ac:dyDescent="0.45">
      <c r="A114" s="42" t="s">
        <v>134</v>
      </c>
      <c r="B114" s="42" t="s">
        <v>316</v>
      </c>
      <c r="C114" s="42" t="s">
        <v>317</v>
      </c>
      <c r="D114" s="42" t="s">
        <v>65</v>
      </c>
      <c r="E114" s="44">
        <v>50</v>
      </c>
      <c r="F114" s="44">
        <v>50</v>
      </c>
      <c r="G114" s="44">
        <v>50</v>
      </c>
      <c r="H114" s="44">
        <v>50</v>
      </c>
    </row>
    <row r="115" spans="1:8" x14ac:dyDescent="0.45">
      <c r="A115" s="42" t="s">
        <v>135</v>
      </c>
      <c r="B115" s="42" t="s">
        <v>316</v>
      </c>
      <c r="C115" s="42" t="s">
        <v>317</v>
      </c>
      <c r="D115" s="42" t="s">
        <v>65</v>
      </c>
      <c r="E115" s="44">
        <v>99</v>
      </c>
      <c r="F115" s="44">
        <v>99</v>
      </c>
      <c r="G115" s="44">
        <v>99</v>
      </c>
      <c r="H115" s="44">
        <v>99</v>
      </c>
    </row>
    <row r="116" spans="1:8" x14ac:dyDescent="0.45">
      <c r="A116" s="42" t="s">
        <v>136</v>
      </c>
      <c r="B116" s="42" t="s">
        <v>316</v>
      </c>
      <c r="C116" s="42" t="s">
        <v>317</v>
      </c>
      <c r="D116" s="42" t="s">
        <v>65</v>
      </c>
      <c r="E116" s="44">
        <v>30</v>
      </c>
      <c r="F116" s="44">
        <v>50</v>
      </c>
      <c r="G116" s="44">
        <v>50</v>
      </c>
      <c r="H116" s="44">
        <v>50</v>
      </c>
    </row>
    <row r="117" spans="1:8" x14ac:dyDescent="0.45">
      <c r="A117" s="42" t="s">
        <v>137</v>
      </c>
      <c r="B117" s="42" t="s">
        <v>316</v>
      </c>
      <c r="C117" s="42" t="s">
        <v>317</v>
      </c>
      <c r="D117" s="42" t="s">
        <v>65</v>
      </c>
      <c r="E117" s="42" t="s">
        <v>65</v>
      </c>
      <c r="F117" s="44">
        <v>30</v>
      </c>
      <c r="G117" s="44">
        <v>30</v>
      </c>
      <c r="H117" s="44">
        <v>30</v>
      </c>
    </row>
    <row r="118" spans="1:8" x14ac:dyDescent="0.45">
      <c r="A118" s="42" t="s">
        <v>138</v>
      </c>
      <c r="B118" s="42" t="s">
        <v>316</v>
      </c>
      <c r="C118" s="42" t="s">
        <v>317</v>
      </c>
      <c r="D118" s="42" t="s">
        <v>65</v>
      </c>
      <c r="E118" s="42" t="s">
        <v>65</v>
      </c>
      <c r="F118" s="44">
        <v>50</v>
      </c>
      <c r="G118" s="44">
        <v>50</v>
      </c>
      <c r="H118" s="44">
        <v>50</v>
      </c>
    </row>
    <row r="119" spans="1:8" x14ac:dyDescent="0.45">
      <c r="A119" s="42" t="s">
        <v>139</v>
      </c>
      <c r="B119" s="42" t="s">
        <v>316</v>
      </c>
      <c r="C119" s="42" t="s">
        <v>317</v>
      </c>
      <c r="D119" s="42" t="s">
        <v>65</v>
      </c>
      <c r="E119" s="42" t="s">
        <v>65</v>
      </c>
      <c r="F119" s="44">
        <v>50</v>
      </c>
      <c r="G119" s="44">
        <v>50</v>
      </c>
      <c r="H119" s="44">
        <v>50</v>
      </c>
    </row>
    <row r="120" spans="1:8" x14ac:dyDescent="0.45">
      <c r="A120" s="42" t="s">
        <v>140</v>
      </c>
      <c r="B120" s="42" t="s">
        <v>316</v>
      </c>
      <c r="C120" s="42" t="s">
        <v>317</v>
      </c>
      <c r="D120" s="42" t="s">
        <v>65</v>
      </c>
      <c r="E120" s="42" t="s">
        <v>65</v>
      </c>
      <c r="F120" s="44">
        <v>50</v>
      </c>
      <c r="G120" s="44">
        <v>50</v>
      </c>
      <c r="H120" s="44">
        <v>50</v>
      </c>
    </row>
    <row r="121" spans="1:8" x14ac:dyDescent="0.45">
      <c r="A121" s="42" t="s">
        <v>141</v>
      </c>
      <c r="B121" s="42" t="s">
        <v>316</v>
      </c>
      <c r="C121" s="42" t="s">
        <v>317</v>
      </c>
      <c r="D121" s="42" t="s">
        <v>65</v>
      </c>
      <c r="E121" s="42" t="s">
        <v>65</v>
      </c>
      <c r="F121" s="44">
        <v>50</v>
      </c>
      <c r="G121" s="44">
        <v>50</v>
      </c>
      <c r="H121" s="44">
        <v>50</v>
      </c>
    </row>
    <row r="122" spans="1:8" x14ac:dyDescent="0.45">
      <c r="A122" s="42" t="s">
        <v>142</v>
      </c>
      <c r="B122" s="42" t="s">
        <v>316</v>
      </c>
      <c r="C122" s="42" t="s">
        <v>317</v>
      </c>
      <c r="D122" s="42" t="s">
        <v>65</v>
      </c>
      <c r="E122" s="42" t="s">
        <v>65</v>
      </c>
      <c r="F122" s="42" t="s">
        <v>65</v>
      </c>
      <c r="G122" s="44">
        <v>50</v>
      </c>
      <c r="H122" s="44">
        <v>50</v>
      </c>
    </row>
    <row r="123" spans="1:8" x14ac:dyDescent="0.45">
      <c r="A123" s="42" t="s">
        <v>143</v>
      </c>
      <c r="B123" s="42" t="s">
        <v>316</v>
      </c>
      <c r="C123" s="42" t="s">
        <v>317</v>
      </c>
      <c r="D123" s="42" t="s">
        <v>65</v>
      </c>
      <c r="E123" s="42" t="s">
        <v>65</v>
      </c>
      <c r="F123" s="42" t="s">
        <v>65</v>
      </c>
      <c r="G123" s="44">
        <v>50</v>
      </c>
      <c r="H123" s="44">
        <v>50</v>
      </c>
    </row>
    <row r="124" spans="1:8" x14ac:dyDescent="0.45">
      <c r="A124" s="42" t="s">
        <v>144</v>
      </c>
      <c r="B124" s="42" t="s">
        <v>316</v>
      </c>
      <c r="C124" s="42" t="s">
        <v>317</v>
      </c>
      <c r="D124" s="42" t="s">
        <v>65</v>
      </c>
      <c r="E124" s="42" t="s">
        <v>65</v>
      </c>
      <c r="F124" s="42" t="s">
        <v>65</v>
      </c>
      <c r="G124" s="44">
        <v>50</v>
      </c>
      <c r="H124" s="44">
        <v>50</v>
      </c>
    </row>
    <row r="125" spans="1:8" x14ac:dyDescent="0.45">
      <c r="A125" s="42" t="s">
        <v>145</v>
      </c>
      <c r="B125" s="42" t="s">
        <v>316</v>
      </c>
      <c r="C125" s="42" t="s">
        <v>317</v>
      </c>
      <c r="D125" s="42" t="s">
        <v>65</v>
      </c>
      <c r="E125" s="42" t="s">
        <v>65</v>
      </c>
      <c r="F125" s="42" t="s">
        <v>65</v>
      </c>
      <c r="G125" s="44">
        <v>50</v>
      </c>
      <c r="H125" s="44">
        <v>50</v>
      </c>
    </row>
    <row r="126" spans="1:8" x14ac:dyDescent="0.45">
      <c r="A126" s="48" t="s">
        <v>146</v>
      </c>
      <c r="B126" s="49"/>
      <c r="C126" s="49"/>
      <c r="D126" s="52">
        <v>306</v>
      </c>
      <c r="E126" s="52">
        <v>785</v>
      </c>
      <c r="F126" s="50">
        <v>1048</v>
      </c>
      <c r="G126" s="50">
        <v>1248</v>
      </c>
      <c r="H126" s="50">
        <v>1248</v>
      </c>
    </row>
    <row r="127" spans="1:8" x14ac:dyDescent="0.45">
      <c r="A127" s="51" t="s">
        <v>318</v>
      </c>
      <c r="B127" s="46"/>
      <c r="C127" s="46"/>
      <c r="D127" s="46"/>
      <c r="E127" s="46"/>
      <c r="F127" s="46"/>
      <c r="G127" s="46"/>
      <c r="H127" s="47"/>
    </row>
    <row r="128" spans="1:8" x14ac:dyDescent="0.45">
      <c r="A128" s="42" t="s">
        <v>148</v>
      </c>
      <c r="B128" s="42" t="s">
        <v>319</v>
      </c>
      <c r="C128" s="42" t="s">
        <v>149</v>
      </c>
      <c r="D128" s="44">
        <v>100</v>
      </c>
      <c r="E128" s="44">
        <v>100</v>
      </c>
      <c r="F128" s="44">
        <v>100</v>
      </c>
      <c r="G128" s="44">
        <v>100</v>
      </c>
      <c r="H128" s="44">
        <v>100</v>
      </c>
    </row>
    <row r="129" spans="1:8" x14ac:dyDescent="0.45">
      <c r="A129" s="42" t="s">
        <v>150</v>
      </c>
      <c r="B129" s="42" t="s">
        <v>319</v>
      </c>
      <c r="C129" s="42" t="s">
        <v>149</v>
      </c>
      <c r="D129" s="44">
        <v>100</v>
      </c>
      <c r="E129" s="44">
        <v>100</v>
      </c>
      <c r="F129" s="44">
        <v>100</v>
      </c>
      <c r="G129" s="44">
        <v>100</v>
      </c>
      <c r="H129" s="44">
        <v>100</v>
      </c>
    </row>
    <row r="130" spans="1:8" x14ac:dyDescent="0.45">
      <c r="A130" s="42" t="s">
        <v>151</v>
      </c>
      <c r="B130" s="42" t="s">
        <v>319</v>
      </c>
      <c r="C130" s="42" t="s">
        <v>149</v>
      </c>
      <c r="D130" s="44">
        <v>100</v>
      </c>
      <c r="E130" s="44">
        <v>100</v>
      </c>
      <c r="F130" s="44">
        <v>100</v>
      </c>
      <c r="G130" s="44">
        <v>100</v>
      </c>
      <c r="H130" s="44">
        <v>100</v>
      </c>
    </row>
    <row r="131" spans="1:8" x14ac:dyDescent="0.45">
      <c r="A131" s="42" t="s">
        <v>152</v>
      </c>
      <c r="B131" s="42" t="s">
        <v>319</v>
      </c>
      <c r="C131" s="42" t="s">
        <v>149</v>
      </c>
      <c r="D131" s="44">
        <v>100</v>
      </c>
      <c r="E131" s="44">
        <v>100</v>
      </c>
      <c r="F131" s="44">
        <v>100</v>
      </c>
      <c r="G131" s="44">
        <v>100</v>
      </c>
      <c r="H131" s="44">
        <v>100</v>
      </c>
    </row>
    <row r="132" spans="1:8" x14ac:dyDescent="0.45">
      <c r="A132" s="42" t="s">
        <v>153</v>
      </c>
      <c r="B132" s="42" t="s">
        <v>320</v>
      </c>
      <c r="C132" s="42" t="s">
        <v>149</v>
      </c>
      <c r="D132" s="42" t="s">
        <v>65</v>
      </c>
      <c r="E132" s="42" t="s">
        <v>65</v>
      </c>
      <c r="F132" s="44">
        <v>12</v>
      </c>
      <c r="G132" s="44">
        <v>12</v>
      </c>
      <c r="H132" s="44">
        <v>12</v>
      </c>
    </row>
    <row r="133" spans="1:8" x14ac:dyDescent="0.45">
      <c r="A133" s="42" t="s">
        <v>154</v>
      </c>
      <c r="B133" s="42" t="s">
        <v>294</v>
      </c>
      <c r="C133" s="42" t="s">
        <v>149</v>
      </c>
      <c r="D133" s="42" t="s">
        <v>65</v>
      </c>
      <c r="E133" s="42" t="s">
        <v>65</v>
      </c>
      <c r="F133" s="44">
        <v>18</v>
      </c>
      <c r="G133" s="44">
        <v>18</v>
      </c>
      <c r="H133" s="44">
        <v>18</v>
      </c>
    </row>
    <row r="134" spans="1:8" x14ac:dyDescent="0.45">
      <c r="A134" s="58" t="s">
        <v>155</v>
      </c>
      <c r="B134" s="42"/>
      <c r="C134" s="42"/>
      <c r="D134" s="59">
        <v>400</v>
      </c>
      <c r="E134" s="59">
        <v>400</v>
      </c>
      <c r="F134" s="59">
        <v>430</v>
      </c>
      <c r="G134" s="59">
        <v>430</v>
      </c>
      <c r="H134" s="59">
        <v>430</v>
      </c>
    </row>
    <row r="135" spans="1:8" x14ac:dyDescent="0.45">
      <c r="A135" s="45" t="s">
        <v>321</v>
      </c>
      <c r="B135" s="46"/>
      <c r="C135" s="46"/>
      <c r="D135" s="46"/>
      <c r="E135" s="46"/>
      <c r="F135" s="46"/>
      <c r="G135" s="46"/>
      <c r="H135" s="47"/>
    </row>
    <row r="136" spans="1:8" x14ac:dyDescent="0.45">
      <c r="A136" s="42" t="s">
        <v>157</v>
      </c>
      <c r="B136" s="42" t="s">
        <v>322</v>
      </c>
      <c r="C136" s="42" t="s">
        <v>158</v>
      </c>
      <c r="D136" s="44">
        <v>26</v>
      </c>
      <c r="E136" s="44">
        <v>26</v>
      </c>
      <c r="F136" s="44">
        <v>26</v>
      </c>
      <c r="G136" s="44">
        <v>26</v>
      </c>
      <c r="H136" s="44">
        <v>26</v>
      </c>
    </row>
    <row r="137" spans="1:8" x14ac:dyDescent="0.45">
      <c r="A137" s="42" t="s">
        <v>159</v>
      </c>
      <c r="B137" s="42" t="s">
        <v>322</v>
      </c>
      <c r="C137" s="42" t="s">
        <v>158</v>
      </c>
      <c r="D137" s="44">
        <v>27</v>
      </c>
      <c r="E137" s="44">
        <v>27</v>
      </c>
      <c r="F137" s="44">
        <v>27</v>
      </c>
      <c r="G137" s="44">
        <v>27</v>
      </c>
      <c r="H137" s="44">
        <v>27</v>
      </c>
    </row>
    <row r="138" spans="1:8" x14ac:dyDescent="0.45">
      <c r="A138" s="42" t="s">
        <v>160</v>
      </c>
      <c r="B138" s="42" t="s">
        <v>322</v>
      </c>
      <c r="C138" s="42" t="s">
        <v>161</v>
      </c>
      <c r="D138" s="44">
        <v>30</v>
      </c>
      <c r="E138" s="44">
        <v>30</v>
      </c>
      <c r="F138" s="44">
        <v>30</v>
      </c>
      <c r="G138" s="44">
        <v>40</v>
      </c>
      <c r="H138" s="44">
        <v>40</v>
      </c>
    </row>
    <row r="139" spans="1:8" x14ac:dyDescent="0.45">
      <c r="A139" s="42" t="s">
        <v>162</v>
      </c>
      <c r="B139" s="42" t="s">
        <v>323</v>
      </c>
      <c r="C139" s="42" t="s">
        <v>161</v>
      </c>
      <c r="D139" s="44">
        <v>63</v>
      </c>
      <c r="E139" s="44">
        <v>63</v>
      </c>
      <c r="F139" s="44">
        <v>63</v>
      </c>
      <c r="G139" s="44">
        <v>63</v>
      </c>
      <c r="H139" s="44">
        <v>63</v>
      </c>
    </row>
    <row r="140" spans="1:8" x14ac:dyDescent="0.45">
      <c r="A140" s="42" t="s">
        <v>163</v>
      </c>
      <c r="B140" s="42" t="s">
        <v>262</v>
      </c>
      <c r="C140" s="42" t="s">
        <v>324</v>
      </c>
      <c r="D140" s="42" t="s">
        <v>65</v>
      </c>
      <c r="E140" s="44">
        <v>119</v>
      </c>
      <c r="F140" s="44">
        <v>120</v>
      </c>
      <c r="G140" s="44">
        <v>120</v>
      </c>
      <c r="H140" s="44">
        <v>120</v>
      </c>
    </row>
    <row r="141" spans="1:8" x14ac:dyDescent="0.45">
      <c r="A141" s="42" t="s">
        <v>164</v>
      </c>
      <c r="B141" s="42" t="s">
        <v>322</v>
      </c>
      <c r="C141" s="42" t="s">
        <v>158</v>
      </c>
      <c r="D141" s="42" t="s">
        <v>65</v>
      </c>
      <c r="E141" s="44">
        <v>15</v>
      </c>
      <c r="F141" s="44">
        <v>15</v>
      </c>
      <c r="G141" s="44">
        <v>15</v>
      </c>
      <c r="H141" s="44">
        <v>15</v>
      </c>
    </row>
    <row r="142" spans="1:8" x14ac:dyDescent="0.45">
      <c r="A142" s="42" t="s">
        <v>165</v>
      </c>
      <c r="B142" s="42" t="s">
        <v>325</v>
      </c>
      <c r="C142" s="42" t="s">
        <v>161</v>
      </c>
      <c r="D142" s="42" t="s">
        <v>65</v>
      </c>
      <c r="E142" s="42" t="s">
        <v>65</v>
      </c>
      <c r="F142" s="44">
        <v>20</v>
      </c>
      <c r="G142" s="44">
        <v>20</v>
      </c>
      <c r="H142" s="44">
        <v>20</v>
      </c>
    </row>
    <row r="143" spans="1:8" x14ac:dyDescent="0.45">
      <c r="A143" s="42" t="s">
        <v>168</v>
      </c>
      <c r="B143" s="42" t="s">
        <v>220</v>
      </c>
      <c r="C143" s="42" t="s">
        <v>161</v>
      </c>
      <c r="D143" s="42" t="s">
        <v>65</v>
      </c>
      <c r="E143" s="42" t="s">
        <v>65</v>
      </c>
      <c r="F143" s="42" t="s">
        <v>65</v>
      </c>
      <c r="G143" s="44">
        <v>36</v>
      </c>
      <c r="H143" s="44">
        <v>36</v>
      </c>
    </row>
    <row r="144" spans="1:8" x14ac:dyDescent="0.45">
      <c r="A144" s="42" t="s">
        <v>169</v>
      </c>
      <c r="B144" s="42" t="s">
        <v>263</v>
      </c>
      <c r="C144" s="42" t="s">
        <v>158</v>
      </c>
      <c r="D144" s="42" t="s">
        <v>65</v>
      </c>
      <c r="E144" s="42" t="s">
        <v>65</v>
      </c>
      <c r="F144" s="42" t="s">
        <v>65</v>
      </c>
      <c r="G144" s="44">
        <v>22</v>
      </c>
      <c r="H144" s="44">
        <v>22</v>
      </c>
    </row>
    <row r="145" spans="1:8" x14ac:dyDescent="0.45">
      <c r="A145" s="48" t="s">
        <v>170</v>
      </c>
      <c r="B145" s="49"/>
      <c r="C145" s="49"/>
      <c r="D145" s="52">
        <v>146</v>
      </c>
      <c r="E145" s="52">
        <v>280</v>
      </c>
      <c r="F145" s="52">
        <v>301</v>
      </c>
      <c r="G145" s="52">
        <v>369</v>
      </c>
      <c r="H145" s="52">
        <v>369</v>
      </c>
    </row>
    <row r="146" spans="1:8" x14ac:dyDescent="0.45">
      <c r="A146" s="48" t="s">
        <v>326</v>
      </c>
      <c r="B146" s="49"/>
      <c r="C146" s="49"/>
      <c r="D146" s="52">
        <v>852</v>
      </c>
      <c r="E146" s="50">
        <v>1465</v>
      </c>
      <c r="F146" s="50">
        <v>1779</v>
      </c>
      <c r="G146" s="50">
        <v>2047</v>
      </c>
      <c r="H146" s="50">
        <v>2047</v>
      </c>
    </row>
    <row r="147" spans="1:8" x14ac:dyDescent="0.45">
      <c r="A147" s="45" t="s">
        <v>327</v>
      </c>
      <c r="B147" s="46"/>
      <c r="C147" s="46"/>
      <c r="D147" s="46"/>
      <c r="E147" s="46"/>
      <c r="F147" s="46"/>
      <c r="G147" s="46"/>
      <c r="H147" s="47"/>
    </row>
    <row r="148" spans="1:8" x14ac:dyDescent="0.45">
      <c r="A148" s="42" t="s">
        <v>173</v>
      </c>
      <c r="B148" s="42" t="s">
        <v>313</v>
      </c>
      <c r="C148" s="42" t="s">
        <v>249</v>
      </c>
      <c r="D148" s="44">
        <v>840</v>
      </c>
      <c r="E148" s="44">
        <v>840</v>
      </c>
      <c r="F148" s="42" t="s">
        <v>328</v>
      </c>
      <c r="G148" s="43">
        <v>1260</v>
      </c>
      <c r="H148" s="43">
        <v>1260</v>
      </c>
    </row>
    <row r="149" spans="1:8" x14ac:dyDescent="0.45">
      <c r="A149" s="42" t="s">
        <v>175</v>
      </c>
      <c r="B149" s="42" t="s">
        <v>313</v>
      </c>
      <c r="C149" s="42" t="s">
        <v>329</v>
      </c>
      <c r="D149" s="44">
        <v>572</v>
      </c>
      <c r="E149" s="44">
        <v>572</v>
      </c>
      <c r="F149" s="44">
        <v>572</v>
      </c>
      <c r="G149" s="44">
        <v>572</v>
      </c>
      <c r="H149" s="44">
        <v>572</v>
      </c>
    </row>
    <row r="150" spans="1:8" x14ac:dyDescent="0.45">
      <c r="A150" s="42" t="s">
        <v>176</v>
      </c>
      <c r="B150" s="42" t="s">
        <v>313</v>
      </c>
      <c r="C150" s="42" t="s">
        <v>329</v>
      </c>
      <c r="D150" s="44">
        <v>107</v>
      </c>
      <c r="E150" s="44">
        <v>107</v>
      </c>
      <c r="F150" s="44">
        <v>107</v>
      </c>
      <c r="G150" s="44">
        <v>107</v>
      </c>
      <c r="H150" s="44">
        <v>107</v>
      </c>
    </row>
    <row r="151" spans="1:8" x14ac:dyDescent="0.45">
      <c r="A151" s="42" t="s">
        <v>177</v>
      </c>
      <c r="B151" s="42" t="s">
        <v>313</v>
      </c>
      <c r="C151" s="42" t="s">
        <v>329</v>
      </c>
      <c r="D151" s="44">
        <v>107</v>
      </c>
      <c r="E151" s="44">
        <v>107</v>
      </c>
      <c r="F151" s="44">
        <v>107</v>
      </c>
      <c r="G151" s="44">
        <v>107</v>
      </c>
      <c r="H151" s="44">
        <v>107</v>
      </c>
    </row>
    <row r="152" spans="1:8" x14ac:dyDescent="0.45">
      <c r="A152" s="42" t="s">
        <v>178</v>
      </c>
      <c r="B152" s="42" t="s">
        <v>313</v>
      </c>
      <c r="C152" s="42" t="s">
        <v>329</v>
      </c>
      <c r="D152" s="44">
        <v>248</v>
      </c>
      <c r="E152" s="44">
        <v>248</v>
      </c>
      <c r="F152" s="44">
        <v>248</v>
      </c>
      <c r="G152" s="44">
        <v>248</v>
      </c>
      <c r="H152" s="44">
        <v>248</v>
      </c>
    </row>
    <row r="153" spans="1:8" x14ac:dyDescent="0.45">
      <c r="A153" s="48" t="s">
        <v>330</v>
      </c>
      <c r="B153" s="49"/>
      <c r="C153" s="49"/>
      <c r="D153" s="50">
        <v>1874</v>
      </c>
      <c r="E153" s="50">
        <v>1874</v>
      </c>
      <c r="F153" s="50">
        <v>2294</v>
      </c>
      <c r="G153" s="50">
        <v>2294</v>
      </c>
      <c r="H153" s="50">
        <v>2294</v>
      </c>
    </row>
    <row r="154" spans="1:8" x14ac:dyDescent="0.45">
      <c r="A154" s="45" t="s">
        <v>331</v>
      </c>
      <c r="B154" s="46"/>
      <c r="C154" s="46"/>
      <c r="D154" s="46"/>
      <c r="E154" s="46"/>
      <c r="F154" s="46"/>
      <c r="G154" s="46"/>
      <c r="H154" s="47"/>
    </row>
    <row r="155" spans="1:8" x14ac:dyDescent="0.45">
      <c r="A155" s="42" t="s">
        <v>181</v>
      </c>
      <c r="B155" s="42" t="s">
        <v>313</v>
      </c>
      <c r="C155" s="42" t="s">
        <v>332</v>
      </c>
      <c r="D155" s="44">
        <v>128</v>
      </c>
      <c r="E155" s="44">
        <v>128</v>
      </c>
      <c r="F155" s="44">
        <v>136</v>
      </c>
      <c r="G155" s="44">
        <v>136</v>
      </c>
      <c r="H155" s="44">
        <v>136</v>
      </c>
    </row>
    <row r="156" spans="1:8" x14ac:dyDescent="0.45">
      <c r="A156" s="42" t="s">
        <v>182</v>
      </c>
      <c r="B156" s="42" t="s">
        <v>313</v>
      </c>
      <c r="C156" s="42" t="s">
        <v>332</v>
      </c>
      <c r="D156" s="44">
        <v>124</v>
      </c>
      <c r="E156" s="44">
        <v>124</v>
      </c>
      <c r="F156" s="44">
        <v>126</v>
      </c>
      <c r="G156" s="44">
        <v>126</v>
      </c>
      <c r="H156" s="44">
        <v>126</v>
      </c>
    </row>
    <row r="157" spans="1:8" x14ac:dyDescent="0.45">
      <c r="A157" s="42" t="s">
        <v>183</v>
      </c>
      <c r="B157" s="42" t="s">
        <v>248</v>
      </c>
      <c r="C157" s="42" t="s">
        <v>333</v>
      </c>
      <c r="D157" s="42" t="s">
        <v>65</v>
      </c>
      <c r="E157" s="42" t="s">
        <v>65</v>
      </c>
      <c r="F157" s="44">
        <v>52</v>
      </c>
      <c r="G157" s="44">
        <v>52</v>
      </c>
      <c r="H157" s="44">
        <v>52</v>
      </c>
    </row>
    <row r="158" spans="1:8" x14ac:dyDescent="0.45">
      <c r="A158" s="42" t="s">
        <v>184</v>
      </c>
      <c r="B158" s="42" t="s">
        <v>248</v>
      </c>
      <c r="C158" s="42" t="s">
        <v>333</v>
      </c>
      <c r="D158" s="42" t="s">
        <v>65</v>
      </c>
      <c r="E158" s="42" t="s">
        <v>65</v>
      </c>
      <c r="F158" s="44">
        <v>52</v>
      </c>
      <c r="G158" s="44">
        <v>52</v>
      </c>
      <c r="H158" s="44">
        <v>52</v>
      </c>
    </row>
    <row r="159" spans="1:8" x14ac:dyDescent="0.45">
      <c r="A159" s="48" t="s">
        <v>334</v>
      </c>
      <c r="B159" s="49"/>
      <c r="C159" s="49"/>
      <c r="D159" s="52">
        <v>252</v>
      </c>
      <c r="E159" s="52">
        <v>252</v>
      </c>
      <c r="F159" s="52">
        <v>366</v>
      </c>
      <c r="G159" s="52">
        <v>366</v>
      </c>
      <c r="H159" s="52">
        <v>366</v>
      </c>
    </row>
    <row r="160" spans="1:8" x14ac:dyDescent="0.45">
      <c r="A160" s="45" t="s">
        <v>335</v>
      </c>
      <c r="B160" s="46"/>
      <c r="C160" s="46"/>
      <c r="D160" s="46"/>
      <c r="E160" s="46"/>
      <c r="F160" s="46"/>
      <c r="G160" s="46"/>
      <c r="H160" s="47"/>
    </row>
    <row r="161" spans="1:8" x14ac:dyDescent="0.45">
      <c r="A161" s="42" t="s">
        <v>336</v>
      </c>
      <c r="B161" s="42" t="s">
        <v>313</v>
      </c>
      <c r="C161" s="42" t="s">
        <v>337</v>
      </c>
      <c r="D161" s="44">
        <v>19</v>
      </c>
      <c r="E161" s="44">
        <v>19</v>
      </c>
      <c r="F161" s="44">
        <v>19</v>
      </c>
      <c r="G161" s="44">
        <v>19</v>
      </c>
      <c r="H161" s="44">
        <v>19</v>
      </c>
    </row>
    <row r="162" spans="1:8" x14ac:dyDescent="0.45">
      <c r="A162" s="42" t="s">
        <v>338</v>
      </c>
      <c r="B162" s="42" t="s">
        <v>313</v>
      </c>
      <c r="C162" s="42" t="s">
        <v>339</v>
      </c>
      <c r="D162" s="44">
        <v>4</v>
      </c>
      <c r="E162" s="44">
        <v>4</v>
      </c>
      <c r="F162" s="44">
        <v>4</v>
      </c>
      <c r="G162" s="44">
        <v>4</v>
      </c>
      <c r="H162" s="44">
        <v>4</v>
      </c>
    </row>
    <row r="163" spans="1:8" x14ac:dyDescent="0.45">
      <c r="A163" s="42" t="s">
        <v>192</v>
      </c>
      <c r="B163" s="42" t="s">
        <v>313</v>
      </c>
      <c r="C163" s="42" t="s">
        <v>340</v>
      </c>
      <c r="D163" s="42" t="s">
        <v>65</v>
      </c>
      <c r="E163" s="44">
        <v>52</v>
      </c>
      <c r="F163" s="44">
        <v>52</v>
      </c>
      <c r="G163" s="44">
        <v>52</v>
      </c>
      <c r="H163" s="44">
        <v>52</v>
      </c>
    </row>
    <row r="164" spans="1:8" x14ac:dyDescent="0.45">
      <c r="A164" s="48" t="s">
        <v>194</v>
      </c>
      <c r="B164" s="49"/>
      <c r="C164" s="49"/>
      <c r="D164" s="52">
        <v>35</v>
      </c>
      <c r="E164" s="52">
        <v>87</v>
      </c>
      <c r="F164" s="52">
        <v>87</v>
      </c>
      <c r="G164" s="52">
        <v>87</v>
      </c>
      <c r="H164" s="52">
        <v>87</v>
      </c>
    </row>
    <row r="165" spans="1:8" x14ac:dyDescent="0.45">
      <c r="A165" s="53" t="s">
        <v>341</v>
      </c>
      <c r="B165" s="49"/>
      <c r="C165" s="49"/>
      <c r="D165" s="54">
        <v>2161</v>
      </c>
      <c r="E165" s="54">
        <v>2213</v>
      </c>
      <c r="F165" s="54">
        <v>2747</v>
      </c>
      <c r="G165" s="54">
        <v>2747</v>
      </c>
      <c r="H165" s="54">
        <v>2747</v>
      </c>
    </row>
    <row r="166" spans="1:8" x14ac:dyDescent="0.45">
      <c r="A166" s="45" t="s">
        <v>342</v>
      </c>
      <c r="B166" s="46"/>
      <c r="C166" s="46"/>
      <c r="D166" s="46"/>
      <c r="E166" s="46"/>
      <c r="F166" s="46"/>
      <c r="G166" s="46"/>
      <c r="H166" s="47"/>
    </row>
    <row r="167" spans="1:8" x14ac:dyDescent="0.45">
      <c r="A167" s="42" t="s">
        <v>197</v>
      </c>
      <c r="B167" s="42" t="s">
        <v>343</v>
      </c>
      <c r="C167" s="42" t="s">
        <v>149</v>
      </c>
      <c r="D167" s="42" t="s">
        <v>65</v>
      </c>
      <c r="E167" s="42" t="s">
        <v>65</v>
      </c>
      <c r="F167" s="42" t="s">
        <v>65</v>
      </c>
      <c r="G167" s="44">
        <v>50</v>
      </c>
      <c r="H167" s="44">
        <v>50</v>
      </c>
    </row>
    <row r="168" spans="1:8" x14ac:dyDescent="0.45">
      <c r="A168" s="42" t="s">
        <v>198</v>
      </c>
      <c r="B168" s="42" t="s">
        <v>316</v>
      </c>
      <c r="C168" s="42" t="s">
        <v>149</v>
      </c>
      <c r="D168" s="42" t="s">
        <v>65</v>
      </c>
      <c r="E168" s="42" t="s">
        <v>65</v>
      </c>
      <c r="F168" s="42" t="s">
        <v>65</v>
      </c>
      <c r="G168" s="42" t="s">
        <v>65</v>
      </c>
      <c r="H168" s="44">
        <v>50</v>
      </c>
    </row>
    <row r="169" spans="1:8" x14ac:dyDescent="0.45">
      <c r="A169" s="48" t="s">
        <v>344</v>
      </c>
      <c r="B169" s="49"/>
      <c r="C169" s="49"/>
      <c r="D169" s="52">
        <v>0</v>
      </c>
      <c r="E169" s="52">
        <v>0</v>
      </c>
      <c r="F169" s="52">
        <v>0</v>
      </c>
      <c r="G169" s="52">
        <v>50</v>
      </c>
      <c r="H169" s="52">
        <v>100</v>
      </c>
    </row>
    <row r="170" spans="1:8" x14ac:dyDescent="0.45">
      <c r="A170" s="48" t="s">
        <v>345</v>
      </c>
      <c r="B170" s="49"/>
      <c r="C170" s="49"/>
      <c r="D170" s="50">
        <v>2161</v>
      </c>
      <c r="E170" s="50">
        <v>2213</v>
      </c>
      <c r="F170" s="50">
        <v>2747</v>
      </c>
      <c r="G170" s="50">
        <v>2797</v>
      </c>
      <c r="H170" s="50">
        <v>2847</v>
      </c>
    </row>
    <row r="171" spans="1:8" x14ac:dyDescent="0.45">
      <c r="A171" s="51" t="s">
        <v>346</v>
      </c>
      <c r="B171" s="46"/>
      <c r="C171" s="46"/>
      <c r="D171" s="46"/>
      <c r="E171" s="46"/>
      <c r="F171" s="46"/>
      <c r="G171" s="46"/>
      <c r="H171" s="47"/>
    </row>
    <row r="172" spans="1:8" x14ac:dyDescent="0.45">
      <c r="A172" s="53" t="s">
        <v>347</v>
      </c>
      <c r="B172" s="49"/>
      <c r="C172" s="49"/>
      <c r="D172" s="49"/>
      <c r="E172" s="57">
        <v>312.5</v>
      </c>
      <c r="F172" s="57">
        <v>339.7</v>
      </c>
      <c r="G172" s="57">
        <v>339.7</v>
      </c>
      <c r="H172" s="57">
        <v>339.7</v>
      </c>
    </row>
    <row r="173" spans="1:8" x14ac:dyDescent="0.45">
      <c r="A173" s="53" t="s">
        <v>348</v>
      </c>
      <c r="B173" s="49"/>
      <c r="C173" s="49"/>
      <c r="D173" s="54">
        <v>25421</v>
      </c>
      <c r="E173" s="54">
        <v>28712</v>
      </c>
      <c r="F173" s="54">
        <v>35979</v>
      </c>
      <c r="G173" s="54">
        <v>38995</v>
      </c>
      <c r="H173" s="54">
        <v>38719</v>
      </c>
    </row>
  </sheetData>
  <autoFilter ref="A1:H173" xr:uid="{12D04304-A467-4E64-9EE9-58A820DA647D}"/>
  <mergeCells count="26">
    <mergeCell ref="K9:P9"/>
    <mergeCell ref="K10:P10"/>
    <mergeCell ref="K14:P14"/>
    <mergeCell ref="K15:P15"/>
    <mergeCell ref="A154:H154"/>
    <mergeCell ref="A160:H160"/>
    <mergeCell ref="A166:H166"/>
    <mergeCell ref="A171:H171"/>
    <mergeCell ref="K1:P1"/>
    <mergeCell ref="K2:P2"/>
    <mergeCell ref="K3:P3"/>
    <mergeCell ref="K4:P4"/>
    <mergeCell ref="K6:P6"/>
    <mergeCell ref="K8:P8"/>
    <mergeCell ref="A93:H93"/>
    <mergeCell ref="A100:H100"/>
    <mergeCell ref="A101:H101"/>
    <mergeCell ref="A127:H127"/>
    <mergeCell ref="A135:H135"/>
    <mergeCell ref="A147:H147"/>
    <mergeCell ref="A2:H2"/>
    <mergeCell ref="A3:H3"/>
    <mergeCell ref="A16:H16"/>
    <mergeCell ref="A28:H28"/>
    <mergeCell ref="A39:H39"/>
    <mergeCell ref="A53:H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Plant-wise Generation</vt:lpstr>
      <vt:lpstr>Sheet5</vt:lpstr>
      <vt:lpstr>Plant-wise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2025-07-25T10:01:35Z</dcterms:created>
  <dcterms:modified xsi:type="dcterms:W3CDTF">2025-07-27T20:23:53Z</dcterms:modified>
</cp:coreProperties>
</file>