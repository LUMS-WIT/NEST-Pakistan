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MITTED\Models\NEST-Pakistan\modelData\historicalData\"/>
    </mc:Choice>
  </mc:AlternateContent>
  <xr:revisionPtr revIDLastSave="0" documentId="13_ncr:1_{81E8B56B-4993-4CB8-B7F1-26309993CB4A}" xr6:coauthVersionLast="47" xr6:coauthVersionMax="47" xr10:uidLastSave="{00000000-0000-0000-0000-000000000000}"/>
  <bookViews>
    <workbookView xWindow="-98" yWindow="-98" windowWidth="21795" windowHeight="12975" activeTab="1" xr2:uid="{5AE99CFB-5AA7-482B-8CD8-E3AF3CA6DDF7}"/>
  </bookViews>
  <sheets>
    <sheet name="Table057 (Page 16)" sheetId="2" r:id="rId1"/>
    <sheet name="Table075 (Page 19)" sheetId="4" r:id="rId2"/>
  </sheets>
  <definedNames>
    <definedName name="ExternalData_1" localSheetId="0" hidden="1">'Table057 (Page 16)'!$A$1:$J$19</definedName>
    <definedName name="ExternalData_1" localSheetId="1" hidden="1">'Table075 (Page 19)'!$A$1:$O$21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K2" i="2"/>
  <c r="M29" i="4" l="1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28" i="4"/>
  <c r="K3" i="2"/>
  <c r="K4" i="2"/>
  <c r="K5" i="2"/>
  <c r="K6" i="2"/>
  <c r="K7" i="2"/>
  <c r="K8" i="2"/>
  <c r="K9" i="2"/>
  <c r="K10" i="2"/>
  <c r="K11" i="2"/>
  <c r="K12" i="2"/>
  <c r="K13" i="2"/>
  <c r="K14" i="2"/>
  <c r="K15" i="2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28" i="4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2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A5E7AB2-C480-490F-B6D2-2671BA7E3480}" keepAlive="1" name="Query - Table057 (Page 16)" description="Connection to the 'Table057 (Page 16)' query in the workbook." type="5" refreshedVersion="8" background="1" saveData="1">
    <dbPr connection="Provider=Microsoft.Mashup.OleDb.1;Data Source=$Workbook$;Location=&quot;Table057 (Page 16)&quot;;Extended Properties=&quot;&quot;" command="SELECT * FROM [Table057 (Page 16)]"/>
  </connection>
  <connection id="2" xr16:uid="{47029CAE-C61A-4386-92FC-ADF4FA0BD89C}" keepAlive="1" name="Query - Table075 (Page 19)" description="Connection to the 'Table075 (Page 19)' query in the workbook." type="5" refreshedVersion="8" background="1" saveData="1">
    <dbPr connection="Provider=Microsoft.Mashup.OleDb.1;Data Source=$Workbook$;Location=&quot;Table075 (Page 19)&quot;;Extended Properties=&quot;&quot;" command="SELECT * FROM [Table075 (Page 19)]"/>
  </connection>
</connections>
</file>

<file path=xl/sharedStrings.xml><?xml version="1.0" encoding="utf-8"?>
<sst xmlns="http://schemas.openxmlformats.org/spreadsheetml/2006/main" count="875" uniqueCount="240">
  <si>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</si>
  <si>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</si>
  <si>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</si>
  <si>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</si>
  <si>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</si>
  <si>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</si>
  <si>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</si>
  <si>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</si>
  <si>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</si>
  <si>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</si>
  <si>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</si>
  <si>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</si>
  <si>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</si>
  <si>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</si>
  <si>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</si>
  <si>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2010-11</t>
  </si>
  <si>
    <t>1</t>
  </si>
  <si>
    <t>35,885</t>
  </si>
  <si>
    <t>-</t>
  </si>
  <si>
    <t>2011-12</t>
  </si>
  <si>
    <t>35,589</t>
  </si>
  <si>
    <t>2012-13</t>
  </si>
  <si>
    <t>36,116</t>
  </si>
  <si>
    <t>2013-14</t>
  </si>
  <si>
    <t>39,549</t>
  </si>
  <si>
    <t>2014-15</t>
  </si>
  <si>
    <t>41,450</t>
  </si>
  <si>
    <t>2015-16</t>
  </si>
  <si>
    <t>44,486</t>
  </si>
  <si>
    <t>2016-17</t>
  </si>
  <si>
    <t>48,698</t>
  </si>
  <si>
    <t>2017-18</t>
  </si>
  <si>
    <t>54,028</t>
  </si>
  <si>
    <t>2018-19</t>
  </si>
  <si>
    <t>53,685</t>
  </si>
  <si>
    <t>2019-20</t>
  </si>
  <si>
    <t>55,963</t>
  </si>
  <si>
    <t>256</t>
  </si>
  <si>
    <t>2020-21</t>
  </si>
  <si>
    <t>58,722</t>
  </si>
  <si>
    <t>368</t>
  </si>
  <si>
    <t>2021-22</t>
  </si>
  <si>
    <t>56,202</t>
  </si>
  <si>
    <t>427</t>
  </si>
  <si>
    <t>2022-23</t>
  </si>
  <si>
    <t>54,354</t>
  </si>
  <si>
    <t>433</t>
  </si>
  <si>
    <t>2023-24</t>
  </si>
  <si>
    <t>54,911</t>
  </si>
  <si>
    <t>463</t>
  </si>
  <si>
    <t>(July-March)</t>
  </si>
  <si>
    <t>2023-24**</t>
  </si>
  <si>
    <t>39,286</t>
  </si>
  <si>
    <t>4,633</t>
  </si>
  <si>
    <t>2024-25 (P)***</t>
  </si>
  <si>
    <t>39,728</t>
  </si>
  <si>
    <t>362</t>
  </si>
  <si>
    <t>- : Not available</t>
  </si>
  <si>
    <t>P: Provisional</t>
  </si>
  <si>
    <t>Fiscal Year</t>
  </si>
  <si>
    <t>Traction</t>
  </si>
  <si>
    <t>Household</t>
  </si>
  <si>
    <t>Commercial</t>
  </si>
  <si>
    <t>Industrial</t>
  </si>
  <si>
    <t>Agriculture</t>
  </si>
  <si>
    <t>Street Lights</t>
  </si>
  <si>
    <t>General Services</t>
  </si>
  <si>
    <t>Other Govt.</t>
  </si>
  <si>
    <t>Total</t>
  </si>
  <si>
    <t>3. Electricity (Gwh)</t>
  </si>
  <si>
    <t>Fiscal
Year</t>
  </si>
  <si>
    <t>Trac-tion</t>
  </si>
  <si>
    <t>House-hold</t>
  </si>
  <si>
    <t>Comm-ercial</t>
  </si>
  <si>
    <t>Indus
trial</t>
  </si>
  <si>
    <t>Agricul-tural</t>
  </si>
  <si>
    <t>Street
Lights</t>
  </si>
  <si>
    <t>Other
Govt.</t>
  </si>
  <si>
    <t>2000-01</t>
  </si>
  <si>
    <t>13</t>
  </si>
  <si>
    <t>22,765</t>
  </si>
  <si>
    <t>2,774</t>
  </si>
  <si>
    <t>14,349</t>
  </si>
  <si>
    <t>4,924</t>
  </si>
  <si>
    <t>213</t>
  </si>
  <si>
    <t>3,547</t>
  </si>
  <si>
    <t>48,585</t>
  </si>
  <si>
    <t>2001-02</t>
  </si>
  <si>
    <t>11</t>
  </si>
  <si>
    <t>23,210</t>
  </si>
  <si>
    <t>2,951</t>
  </si>
  <si>
    <t>15,141</t>
  </si>
  <si>
    <t>5,607</t>
  </si>
  <si>
    <t>212</t>
  </si>
  <si>
    <t>3,490</t>
  </si>
  <si>
    <t>50,622</t>
  </si>
  <si>
    <t>2002-03</t>
  </si>
  <si>
    <t>10</t>
  </si>
  <si>
    <t>23,624</t>
  </si>
  <si>
    <t>3,218</t>
  </si>
  <si>
    <t>16,181</t>
  </si>
  <si>
    <t>6,016</t>
  </si>
  <si>
    <t>244</t>
  </si>
  <si>
    <t>3,363</t>
  </si>
  <si>
    <t>52,656</t>
  </si>
  <si>
    <t>2003-04</t>
  </si>
  <si>
    <t>9</t>
  </si>
  <si>
    <t>25,846</t>
  </si>
  <si>
    <t>3,689</t>
  </si>
  <si>
    <t>17,366</t>
  </si>
  <si>
    <t>6,669</t>
  </si>
  <si>
    <t>262</t>
  </si>
  <si>
    <t>3,650</t>
  </si>
  <si>
    <t>57,491</t>
  </si>
  <si>
    <t>2004-05</t>
  </si>
  <si>
    <t>12</t>
  </si>
  <si>
    <t>27,601</t>
  </si>
  <si>
    <t>4,080</t>
  </si>
  <si>
    <t>18,591</t>
  </si>
  <si>
    <t>6,988</t>
  </si>
  <si>
    <t>305</t>
  </si>
  <si>
    <t>3,750</t>
  </si>
  <si>
    <t>61,327</t>
  </si>
  <si>
    <t>2005-06</t>
  </si>
  <si>
    <t>30,720</t>
  </si>
  <si>
    <t>4,730</t>
  </si>
  <si>
    <t>19,803</t>
  </si>
  <si>
    <t>7,949</t>
  </si>
  <si>
    <t>353</t>
  </si>
  <si>
    <t>4,035</t>
  </si>
  <si>
    <t>67,603</t>
  </si>
  <si>
    <t>2006-07</t>
  </si>
  <si>
    <t>33,335</t>
  </si>
  <si>
    <t>5,363</t>
  </si>
  <si>
    <t>21,066</t>
  </si>
  <si>
    <t>8,176</t>
  </si>
  <si>
    <t>387</t>
  </si>
  <si>
    <t>4,373</t>
  </si>
  <si>
    <t>72,712</t>
  </si>
  <si>
    <t>2007-08</t>
  </si>
  <si>
    <t>8</t>
  </si>
  <si>
    <t>33,704</t>
  </si>
  <si>
    <t>5,572</t>
  </si>
  <si>
    <t>20,729</t>
  </si>
  <si>
    <t>8,472</t>
  </si>
  <si>
    <t>415</t>
  </si>
  <si>
    <t>4,500</t>
  </si>
  <si>
    <t>73,400</t>
  </si>
  <si>
    <t>2008-09</t>
  </si>
  <si>
    <t>5</t>
  </si>
  <si>
    <t>32,282</t>
  </si>
  <si>
    <t>5,252</t>
  </si>
  <si>
    <t>19,330</t>
  </si>
  <si>
    <t>8,795</t>
  </si>
  <si>
    <t>430</t>
  </si>
  <si>
    <t>4,277</t>
  </si>
  <si>
    <t>70,371</t>
  </si>
  <si>
    <t>2009-10</t>
  </si>
  <si>
    <t>2</t>
  </si>
  <si>
    <t>34,272</t>
  </si>
  <si>
    <t>5,605</t>
  </si>
  <si>
    <t>19,823</t>
  </si>
  <si>
    <t>9,689</t>
  </si>
  <si>
    <t>458</t>
  </si>
  <si>
    <t>4,499</t>
  </si>
  <si>
    <t>74,348</t>
  </si>
  <si>
    <t>5,782</t>
  </si>
  <si>
    <t>21,207</t>
  </si>
  <si>
    <t>8,971</t>
  </si>
  <si>
    <t>456</t>
  </si>
  <si>
    <t>4,797</t>
  </si>
  <si>
    <t>77,099</t>
  </si>
  <si>
    <t>5,754</t>
  </si>
  <si>
    <t>21,801</t>
  </si>
  <si>
    <t>8,548</t>
  </si>
  <si>
    <t>478</t>
  </si>
  <si>
    <t>4,590</t>
  </si>
  <si>
    <t>76,761</t>
  </si>
  <si>
    <t>6,007</t>
  </si>
  <si>
    <t>22,313</t>
  </si>
  <si>
    <t>7,697</t>
  </si>
  <si>
    <t>457</t>
  </si>
  <si>
    <t>4,199</t>
  </si>
  <si>
    <t>76,789</t>
  </si>
  <si>
    <t>6,375</t>
  </si>
  <si>
    <t>24,356</t>
  </si>
  <si>
    <t>8,290</t>
  </si>
  <si>
    <t>4,381</t>
  </si>
  <si>
    <t>83,409</t>
  </si>
  <si>
    <t>2014-15 (P)</t>
  </si>
  <si>
    <t>6,512</t>
  </si>
  <si>
    <t>24,979</t>
  </si>
  <si>
    <t>8,033</t>
  </si>
  <si>
    <t>441</t>
  </si>
  <si>
    <t>4,403</t>
  </si>
  <si>
    <t>85,818</t>
  </si>
  <si>
    <t>Jul-Mar</t>
  </si>
  <si>
    <t>2014-15 (e)</t>
  </si>
  <si>
    <t>30,040</t>
  </si>
  <si>
    <t>4755</t>
  </si>
  <si>
    <t>18,445</t>
  </si>
  <si>
    <t>5,985</t>
  </si>
  <si>
    <t>331</t>
  </si>
  <si>
    <t>3,290</t>
  </si>
  <si>
    <t>62,846</t>
  </si>
  <si>
    <t>2015-16*</t>
  </si>
  <si>
    <t>31,655</t>
  </si>
  <si>
    <t>5134</t>
  </si>
  <si>
    <t>18,955</t>
  </si>
  <si>
    <t>6,164</t>
  </si>
  <si>
    <t>306</t>
  </si>
  <si>
    <t>7,331</t>
  </si>
  <si>
    <t>69,545</t>
  </si>
  <si>
    <t>sp_el_I</t>
  </si>
  <si>
    <t>2000</t>
  </si>
  <si>
    <t>M1</t>
  </si>
  <si>
    <t>R12_PAK</t>
  </si>
  <si>
    <t>electr</t>
  </si>
  <si>
    <t>final</t>
  </si>
  <si>
    <t>year</t>
  </si>
  <si>
    <t>GWa</t>
  </si>
  <si>
    <t>2005</t>
  </si>
  <si>
    <t>2010</t>
  </si>
  <si>
    <t>2015</t>
  </si>
  <si>
    <t>2020</t>
  </si>
  <si>
    <t>2025</t>
  </si>
  <si>
    <t>sp_el_RC</t>
  </si>
  <si>
    <t>1990</t>
  </si>
  <si>
    <t>1995</t>
  </si>
  <si>
    <t>elec_rc</t>
  </si>
  <si>
    <t>elec_t_d</t>
  </si>
  <si>
    <t>1965</t>
  </si>
  <si>
    <t>secondary</t>
  </si>
  <si>
    <t>1970</t>
  </si>
  <si>
    <t>1975</t>
  </si>
  <si>
    <t>1980</t>
  </si>
  <si>
    <t>1985</t>
  </si>
  <si>
    <t>rc</t>
  </si>
  <si>
    <t>rc (GWa)</t>
  </si>
  <si>
    <t>I (GWa)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</si>
</sst>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0" xfId="0" applyFill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5AD31A-ED2F-44CB-98A3-79E845F40254}" autoFormatId="16" applyNumberFormats="0" applyBorderFormats="0" applyFontFormats="0" applyPatternFormats="0" applyAlignmentFormats="0" applyWidthHeightFormats="0">
  <queryTableRefresh nextId="17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  <queryTableDeletedFields count="6">
      <deletedField name="Column11"/>
      <deletedField name="Column12"/>
      <deletedField name="Column13"/>
      <deletedField name="Column14"/>
      <deletedField name="Column15"/>
      <deletedField name="Column16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DAA7BA5-0530-4DA7-8356-D680A08FE629}" autoFormatId="16" applyNumberFormats="0" applyBorderFormats="0" applyFontFormats="0" applyPatternFormats="0" applyAlignmentFormats="0" applyWidthHeightFormats="0">
  <queryTableRefresh nextId="16">
    <queryTableFields count="1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CDD102-4B2A-4CE1-BC83-8DC79B7FF9A4}" name="Table057__Page_16" displayName="Table057__Page_16" ref="A1:J19" tableType="queryTable" totalsRowShown="0">
  <autoFilter ref="A1:J19" xr:uid="{FBCDD102-4B2A-4CE1-BC83-8DC79B7FF9A4}"/>
  <tableColumns count="10">
    <tableColumn id="1" xr3:uid="{CCACC485-C7EE-4C05-94D5-53477962B69E}" uniqueName="1" name="Fiscal Year" queryTableFieldId="1" dataDxfId="18"/>
    <tableColumn id="2" xr3:uid="{1A17C744-F534-41A8-85FA-A7B96DB2111C}" uniqueName="2" name="Traction" queryTableFieldId="2" dataDxfId="17"/>
    <tableColumn id="3" xr3:uid="{6B30934C-5C0B-4F64-8D5B-539EC9C67C69}" uniqueName="3" name="Household" queryTableFieldId="3" dataDxfId="16"/>
    <tableColumn id="4" xr3:uid="{8DAD5D00-6076-439D-A399-BE91E6C9A1B6}" uniqueName="4" name="Commercial" queryTableFieldId="4"/>
    <tableColumn id="5" xr3:uid="{7D79CD3B-BE7E-4FFD-A523-5C1ECF4F2397}" uniqueName="5" name="Industrial" queryTableFieldId="5"/>
    <tableColumn id="6" xr3:uid="{01995605-788B-4F23-8699-213233458934}" uniqueName="6" name="Agriculture" queryTableFieldId="6"/>
    <tableColumn id="7" xr3:uid="{72C9A654-05BB-467C-91C9-B12BEBF409AA}" uniqueName="7" name="Street Lights" queryTableFieldId="7"/>
    <tableColumn id="8" xr3:uid="{77C8B5A4-7EB3-461F-B520-D6E7FEBC2269}" uniqueName="8" name="General Services" queryTableFieldId="8" dataDxfId="15"/>
    <tableColumn id="9" xr3:uid="{8BE6C2ED-DD62-47E4-A2F3-6FBFDDE4ADB6}" uniqueName="9" name="Other Govt." queryTableFieldId="9"/>
    <tableColumn id="10" xr3:uid="{220C33EC-AE1C-4FA0-A5E9-F0DC732B9BEF}" uniqueName="10" name="Total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17CA9A-B915-444E-9032-2FBA7BA14C77}" name="Table075__Page_19" displayName="Table075__Page_19" ref="A1:O21" tableType="queryTable" totalsRowShown="0">
  <autoFilter ref="A1:O21" xr:uid="{4417CA9A-B915-444E-9032-2FBA7BA14C77}"/>
  <tableColumns count="15">
    <tableColumn id="1" xr3:uid="{C87913EE-D2EE-4720-8C72-785E2AD8471B}" uniqueName="1" name="Column1" queryTableFieldId="1" dataDxfId="14"/>
    <tableColumn id="2" xr3:uid="{88F1733C-549D-48A2-9F0C-A6C4B2506346}" uniqueName="2" name="Column2" queryTableFieldId="2" dataDxfId="13"/>
    <tableColumn id="3" xr3:uid="{3A61F345-E183-4803-BC97-88CFD7ABCD5C}" uniqueName="3" name="Column3" queryTableFieldId="3" dataDxfId="12"/>
    <tableColumn id="4" xr3:uid="{E36642D3-7D8F-4B09-8F18-4FAB82A249F4}" uniqueName="4" name="Column4" queryTableFieldId="4" dataDxfId="11"/>
    <tableColumn id="5" xr3:uid="{77DAFAA6-281D-44EE-9049-77D6A0B57B53}" uniqueName="5" name="Column5" queryTableFieldId="5" dataDxfId="10"/>
    <tableColumn id="6" xr3:uid="{5A47F272-515F-4B02-B87D-068DFA6015F8}" uniqueName="6" name="Column6" queryTableFieldId="6" dataDxfId="9"/>
    <tableColumn id="7" xr3:uid="{9A64E745-19F9-48DB-B7D5-017A3CFE3052}" uniqueName="7" name="Column7" queryTableFieldId="7" dataDxfId="8"/>
    <tableColumn id="8" xr3:uid="{5CE14668-4525-4E5C-9485-465D386F77AF}" uniqueName="8" name="Column8" queryTableFieldId="8" dataDxfId="7"/>
    <tableColumn id="9" xr3:uid="{1922DE5D-599D-4FE4-9904-DCBAFE685D3E}" uniqueName="9" name="Column9" queryTableFieldId="9" dataDxfId="6"/>
    <tableColumn id="10" xr3:uid="{972C53BE-041F-4178-A9E2-B6F90424738B}" uniqueName="10" name="Column10" queryTableFieldId="10" dataDxfId="5"/>
    <tableColumn id="11" xr3:uid="{34F6CF48-65FB-4D35-BFDD-0373F16698C3}" uniqueName="11" name="Column11" queryTableFieldId="11" dataDxfId="4"/>
    <tableColumn id="12" xr3:uid="{5297C72F-54F8-4B89-8CFD-7D40C24AE13C}" uniqueName="12" name="Column12" queryTableFieldId="12" dataDxfId="3"/>
    <tableColumn id="13" xr3:uid="{E7921E0B-D727-419B-A4B4-01F6344DE93C}" uniqueName="13" name="Column13" queryTableFieldId="13" dataDxfId="2"/>
    <tableColumn id="14" xr3:uid="{599EC86A-7693-4A48-B19D-ECEC84418DDD}" uniqueName="14" name="Column14" queryTableFieldId="14" dataDxfId="1"/>
    <tableColumn id="15" xr3:uid="{DFBA5B02-DAA3-423A-887D-E8DA835A38EF}" uniqueName="15" name="Column15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F1CB9-3CA6-4E3E-BDF8-4C4F5857B838}">
  <dimension ref="A1:O101"/>
  <sheetViews>
    <sheetView workbookViewId="0">
      <selection activeCell="K3" sqref="K3"/>
    </sheetView>
  </sheetViews>
  <sheetFormatPr defaultRowHeight="14.25" x14ac:dyDescent="0.45"/>
  <cols>
    <col min="1" max="1" width="13.9296875" bestFit="1" customWidth="1"/>
    <col min="2" max="2" width="10.73046875" bestFit="1" customWidth="1"/>
    <col min="3" max="3" width="12.33203125" bestFit="1" customWidth="1"/>
    <col min="4" max="7" width="10.73046875" bestFit="1" customWidth="1"/>
    <col min="8" max="8" width="17.53125" bestFit="1" customWidth="1"/>
    <col min="9" max="9" width="10.73046875" bestFit="1" customWidth="1"/>
    <col min="10" max="10" width="11.6640625" bestFit="1" customWidth="1"/>
  </cols>
  <sheetData>
    <row r="1" spans="1:15" x14ac:dyDescent="0.4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M1" t="s">
        <v>237</v>
      </c>
      <c r="N1" t="s">
        <v>238</v>
      </c>
      <c r="O1" t="s">
        <v>239</v>
      </c>
    </row>
    <row r="2" spans="1:15" x14ac:dyDescent="0.45">
      <c r="A2" t="s">
        <v>15</v>
      </c>
      <c r="B2" t="s">
        <v>16</v>
      </c>
      <c r="C2" t="s">
        <v>17</v>
      </c>
      <c r="D2">
        <v>5782</v>
      </c>
      <c r="E2">
        <v>21207</v>
      </c>
      <c r="F2">
        <v>8971</v>
      </c>
      <c r="G2">
        <v>456</v>
      </c>
      <c r="H2" t="s">
        <v>18</v>
      </c>
      <c r="I2">
        <v>4797</v>
      </c>
      <c r="J2">
        <v>77099</v>
      </c>
      <c r="K2">
        <f>J2/8760</f>
        <v>8.8012557077625573</v>
      </c>
      <c r="M2">
        <f>C2+D2+F2+G2+I2</f>
        <v>55891</v>
      </c>
      <c r="N2">
        <f>M2/8760</f>
        <v>6.3802511415525114</v>
      </c>
      <c r="O2">
        <f>E2/8760</f>
        <v>2.4208904109589042</v>
      </c>
    </row>
    <row r="3" spans="1:15" x14ac:dyDescent="0.45">
      <c r="A3" t="s">
        <v>19</v>
      </c>
      <c r="B3" t="s">
        <v>16</v>
      </c>
      <c r="C3" t="s">
        <v>20</v>
      </c>
      <c r="D3">
        <v>5754</v>
      </c>
      <c r="E3">
        <v>21801</v>
      </c>
      <c r="F3">
        <v>8548</v>
      </c>
      <c r="G3">
        <v>478</v>
      </c>
      <c r="H3" t="s">
        <v>18</v>
      </c>
      <c r="I3">
        <v>4590</v>
      </c>
      <c r="J3">
        <v>76761</v>
      </c>
      <c r="K3">
        <f t="shared" ref="K3:K15" si="0">J3/8760</f>
        <v>8.7626712328767127</v>
      </c>
      <c r="M3">
        <f t="shared" ref="M3:M15" si="1">C3+D3+F3+G3+I3</f>
        <v>54959</v>
      </c>
      <c r="N3">
        <f t="shared" ref="N3:N15" si="2">M3/8760</f>
        <v>6.2738584474885846</v>
      </c>
      <c r="O3">
        <f t="shared" ref="O3:O15" si="3">E3/8760</f>
        <v>2.4886986301369864</v>
      </c>
    </row>
    <row r="4" spans="1:15" x14ac:dyDescent="0.45">
      <c r="A4" t="s">
        <v>21</v>
      </c>
      <c r="B4" t="s">
        <v>18</v>
      </c>
      <c r="C4" t="s">
        <v>22</v>
      </c>
      <c r="D4">
        <v>6007</v>
      </c>
      <c r="E4">
        <v>22313</v>
      </c>
      <c r="F4">
        <v>7697</v>
      </c>
      <c r="G4">
        <v>457</v>
      </c>
      <c r="H4" t="s">
        <v>18</v>
      </c>
      <c r="I4">
        <v>4199</v>
      </c>
      <c r="J4">
        <v>76789</v>
      </c>
      <c r="K4">
        <f t="shared" si="0"/>
        <v>8.7658675799086758</v>
      </c>
      <c r="M4">
        <f t="shared" si="1"/>
        <v>54476</v>
      </c>
      <c r="N4">
        <f t="shared" si="2"/>
        <v>6.218721461187215</v>
      </c>
      <c r="O4">
        <f t="shared" si="3"/>
        <v>2.5471461187214612</v>
      </c>
    </row>
    <row r="5" spans="1:15" x14ac:dyDescent="0.45">
      <c r="A5" t="s">
        <v>23</v>
      </c>
      <c r="B5" t="s">
        <v>18</v>
      </c>
      <c r="C5" t="s">
        <v>24</v>
      </c>
      <c r="D5">
        <v>6375</v>
      </c>
      <c r="E5">
        <v>24356</v>
      </c>
      <c r="F5">
        <v>8290</v>
      </c>
      <c r="G5">
        <v>458</v>
      </c>
      <c r="H5" t="s">
        <v>18</v>
      </c>
      <c r="I5">
        <v>4381</v>
      </c>
      <c r="J5">
        <v>83409</v>
      </c>
      <c r="K5">
        <f t="shared" si="0"/>
        <v>9.5215753424657539</v>
      </c>
      <c r="M5">
        <f t="shared" si="1"/>
        <v>59053</v>
      </c>
      <c r="N5">
        <f t="shared" si="2"/>
        <v>6.7412100456621005</v>
      </c>
      <c r="O5">
        <f t="shared" si="3"/>
        <v>2.780365296803653</v>
      </c>
    </row>
    <row r="6" spans="1:15" s="3" customFormat="1" x14ac:dyDescent="0.45">
      <c r="A6" s="3" t="s">
        <v>25</v>
      </c>
      <c r="B6" s="3" t="s">
        <v>18</v>
      </c>
      <c r="C6" s="3" t="s">
        <v>26</v>
      </c>
      <c r="D6" s="3">
        <v>6512</v>
      </c>
      <c r="E6" s="3">
        <v>24979</v>
      </c>
      <c r="F6" s="3">
        <v>8033</v>
      </c>
      <c r="G6" s="3">
        <v>441</v>
      </c>
      <c r="H6" s="3" t="s">
        <v>18</v>
      </c>
      <c r="I6" s="3">
        <v>4403</v>
      </c>
      <c r="J6" s="3">
        <v>85818</v>
      </c>
      <c r="K6" s="3">
        <f t="shared" si="0"/>
        <v>9.7965753424657542</v>
      </c>
      <c r="M6" s="3">
        <f t="shared" si="1"/>
        <v>60839</v>
      </c>
      <c r="N6" s="3">
        <f t="shared" si="2"/>
        <v>6.9450913242009129</v>
      </c>
      <c r="O6" s="3">
        <f t="shared" si="3"/>
        <v>2.85148401826484</v>
      </c>
    </row>
    <row r="7" spans="1:15" x14ac:dyDescent="0.45">
      <c r="A7" t="s">
        <v>27</v>
      </c>
      <c r="B7" t="s">
        <v>18</v>
      </c>
      <c r="C7" t="s">
        <v>28</v>
      </c>
      <c r="D7">
        <v>7181</v>
      </c>
      <c r="E7">
        <v>25035</v>
      </c>
      <c r="F7">
        <v>8526</v>
      </c>
      <c r="G7">
        <v>459</v>
      </c>
      <c r="H7" t="s">
        <v>18</v>
      </c>
      <c r="I7">
        <v>4744</v>
      </c>
      <c r="J7">
        <v>90431</v>
      </c>
      <c r="K7">
        <f t="shared" si="0"/>
        <v>10.323173515981734</v>
      </c>
      <c r="M7">
        <f t="shared" si="1"/>
        <v>65396</v>
      </c>
      <c r="N7">
        <f t="shared" si="2"/>
        <v>7.4652968036529677</v>
      </c>
      <c r="O7">
        <f t="shared" si="3"/>
        <v>2.8578767123287672</v>
      </c>
    </row>
    <row r="8" spans="1:15" x14ac:dyDescent="0.45">
      <c r="A8" t="s">
        <v>29</v>
      </c>
      <c r="B8" t="s">
        <v>18</v>
      </c>
      <c r="C8" t="s">
        <v>30</v>
      </c>
      <c r="D8">
        <v>7856</v>
      </c>
      <c r="E8">
        <v>24010</v>
      </c>
      <c r="F8">
        <v>9221</v>
      </c>
      <c r="G8">
        <v>484</v>
      </c>
      <c r="H8" t="s">
        <v>18</v>
      </c>
      <c r="I8">
        <v>5260</v>
      </c>
      <c r="J8">
        <v>95529</v>
      </c>
      <c r="K8">
        <f t="shared" si="0"/>
        <v>10.90513698630137</v>
      </c>
      <c r="M8">
        <f t="shared" si="1"/>
        <v>71519</v>
      </c>
      <c r="N8">
        <f t="shared" si="2"/>
        <v>8.1642694063926946</v>
      </c>
      <c r="O8">
        <f t="shared" si="3"/>
        <v>2.7408675799086759</v>
      </c>
    </row>
    <row r="9" spans="1:15" x14ac:dyDescent="0.45">
      <c r="A9" t="s">
        <v>31</v>
      </c>
      <c r="B9" t="s">
        <v>18</v>
      </c>
      <c r="C9" t="s">
        <v>32</v>
      </c>
      <c r="D9">
        <v>8606</v>
      </c>
      <c r="E9">
        <v>27468</v>
      </c>
      <c r="F9">
        <v>10128</v>
      </c>
      <c r="G9">
        <v>475</v>
      </c>
      <c r="H9" t="s">
        <v>18</v>
      </c>
      <c r="I9">
        <v>6222</v>
      </c>
      <c r="J9">
        <v>106927</v>
      </c>
      <c r="K9">
        <f t="shared" si="0"/>
        <v>12.206278538812786</v>
      </c>
      <c r="M9">
        <f t="shared" si="1"/>
        <v>79459</v>
      </c>
      <c r="N9">
        <f t="shared" si="2"/>
        <v>9.0706621004566212</v>
      </c>
      <c r="O9">
        <f t="shared" si="3"/>
        <v>3.1356164383561644</v>
      </c>
    </row>
    <row r="10" spans="1:15" x14ac:dyDescent="0.45">
      <c r="A10" t="s">
        <v>33</v>
      </c>
      <c r="B10" t="s">
        <v>18</v>
      </c>
      <c r="C10" t="s">
        <v>34</v>
      </c>
      <c r="D10">
        <v>8513</v>
      </c>
      <c r="E10">
        <v>28760</v>
      </c>
      <c r="F10">
        <v>9809</v>
      </c>
      <c r="G10">
        <v>451</v>
      </c>
      <c r="H10" t="s">
        <v>16</v>
      </c>
      <c r="I10">
        <v>8240</v>
      </c>
      <c r="J10">
        <v>109461</v>
      </c>
      <c r="K10">
        <f t="shared" si="0"/>
        <v>12.49554794520548</v>
      </c>
      <c r="M10">
        <f t="shared" si="1"/>
        <v>80698</v>
      </c>
      <c r="N10">
        <f t="shared" si="2"/>
        <v>9.2121004566210054</v>
      </c>
      <c r="O10">
        <f t="shared" si="3"/>
        <v>3.2831050228310503</v>
      </c>
    </row>
    <row r="11" spans="1:15" s="3" customFormat="1" x14ac:dyDescent="0.45">
      <c r="A11" s="3" t="s">
        <v>35</v>
      </c>
      <c r="B11" s="3" t="s">
        <v>18</v>
      </c>
      <c r="C11" s="3" t="s">
        <v>36</v>
      </c>
      <c r="D11" s="3">
        <v>7975</v>
      </c>
      <c r="E11" s="3">
        <v>25708</v>
      </c>
      <c r="F11" s="3">
        <v>9757</v>
      </c>
      <c r="G11" s="3">
        <v>385</v>
      </c>
      <c r="H11" s="3" t="s">
        <v>37</v>
      </c>
      <c r="I11" s="3">
        <v>8328</v>
      </c>
      <c r="J11" s="3">
        <v>108371</v>
      </c>
      <c r="K11" s="3">
        <f t="shared" si="0"/>
        <v>12.371118721461187</v>
      </c>
      <c r="M11" s="3">
        <f t="shared" si="1"/>
        <v>82408</v>
      </c>
      <c r="N11" s="3">
        <f t="shared" si="2"/>
        <v>9.40730593607306</v>
      </c>
      <c r="O11" s="3">
        <f t="shared" si="3"/>
        <v>2.9347031963470318</v>
      </c>
    </row>
    <row r="12" spans="1:15" x14ac:dyDescent="0.45">
      <c r="A12" t="s">
        <v>38</v>
      </c>
      <c r="B12" t="s">
        <v>18</v>
      </c>
      <c r="C12" t="s">
        <v>39</v>
      </c>
      <c r="D12">
        <v>8501</v>
      </c>
      <c r="E12">
        <v>29954</v>
      </c>
      <c r="F12">
        <v>10238</v>
      </c>
      <c r="G12">
        <v>413</v>
      </c>
      <c r="H12" t="s">
        <v>40</v>
      </c>
      <c r="I12">
        <v>8621</v>
      </c>
      <c r="J12">
        <v>116816</v>
      </c>
      <c r="K12">
        <f t="shared" si="0"/>
        <v>13.335159817351599</v>
      </c>
      <c r="M12">
        <f t="shared" si="1"/>
        <v>86495</v>
      </c>
      <c r="N12">
        <f t="shared" si="2"/>
        <v>9.8738584474885851</v>
      </c>
      <c r="O12">
        <f t="shared" si="3"/>
        <v>3.4194063926940639</v>
      </c>
    </row>
    <row r="13" spans="1:15" x14ac:dyDescent="0.45">
      <c r="A13" t="s">
        <v>41</v>
      </c>
      <c r="B13" t="s">
        <v>18</v>
      </c>
      <c r="C13" t="s">
        <v>42</v>
      </c>
      <c r="D13">
        <v>8652</v>
      </c>
      <c r="E13">
        <v>31600</v>
      </c>
      <c r="F13">
        <v>10247</v>
      </c>
      <c r="G13">
        <v>387</v>
      </c>
      <c r="H13" t="s">
        <v>43</v>
      </c>
      <c r="I13">
        <v>3748</v>
      </c>
      <c r="J13">
        <v>111263</v>
      </c>
      <c r="K13">
        <f t="shared" si="0"/>
        <v>12.701255707762558</v>
      </c>
      <c r="M13">
        <f t="shared" si="1"/>
        <v>79236</v>
      </c>
      <c r="N13">
        <f t="shared" si="2"/>
        <v>9.0452054794520542</v>
      </c>
      <c r="O13">
        <f t="shared" si="3"/>
        <v>3.6073059360730593</v>
      </c>
    </row>
    <row r="14" spans="1:15" x14ac:dyDescent="0.45">
      <c r="A14" t="s">
        <v>44</v>
      </c>
      <c r="B14" t="s">
        <v>18</v>
      </c>
      <c r="C14" t="s">
        <v>45</v>
      </c>
      <c r="D14">
        <v>9005</v>
      </c>
      <c r="E14">
        <v>31138</v>
      </c>
      <c r="F14">
        <v>9543</v>
      </c>
      <c r="G14">
        <v>521</v>
      </c>
      <c r="H14" t="s">
        <v>46</v>
      </c>
      <c r="I14">
        <v>9305</v>
      </c>
      <c r="J14">
        <v>114300</v>
      </c>
      <c r="K14">
        <f t="shared" si="0"/>
        <v>13.047945205479452</v>
      </c>
      <c r="M14">
        <f t="shared" si="1"/>
        <v>82728</v>
      </c>
      <c r="N14">
        <f t="shared" si="2"/>
        <v>9.4438356164383563</v>
      </c>
      <c r="O14">
        <f t="shared" si="3"/>
        <v>3.5545662100456621</v>
      </c>
    </row>
    <row r="15" spans="1:15" s="3" customFormat="1" x14ac:dyDescent="0.45">
      <c r="A15" s="3" t="s">
        <v>47</v>
      </c>
      <c r="B15" s="3" t="s">
        <v>18</v>
      </c>
      <c r="C15" s="3" t="s">
        <v>48</v>
      </c>
      <c r="D15" s="3">
        <v>9195</v>
      </c>
      <c r="E15" s="3">
        <v>27830</v>
      </c>
      <c r="F15" s="3">
        <v>8578</v>
      </c>
      <c r="G15" s="3">
        <v>655</v>
      </c>
      <c r="H15" s="3" t="s">
        <v>49</v>
      </c>
      <c r="I15" s="3">
        <v>9478</v>
      </c>
      <c r="J15" s="3">
        <v>111110</v>
      </c>
      <c r="K15" s="3">
        <f t="shared" si="0"/>
        <v>12.6837899543379</v>
      </c>
      <c r="M15" s="3">
        <f t="shared" si="1"/>
        <v>82817</v>
      </c>
      <c r="N15" s="3">
        <f t="shared" si="2"/>
        <v>9.4539954337899541</v>
      </c>
      <c r="O15" s="3">
        <f t="shared" si="3"/>
        <v>3.1769406392694064</v>
      </c>
    </row>
    <row r="16" spans="1:15" x14ac:dyDescent="0.45">
      <c r="A16" t="s">
        <v>50</v>
      </c>
    </row>
    <row r="17" spans="1:10" x14ac:dyDescent="0.45">
      <c r="A17" t="s">
        <v>51</v>
      </c>
      <c r="B17" t="s">
        <v>18</v>
      </c>
      <c r="C17" t="s">
        <v>52</v>
      </c>
      <c r="D17">
        <v>6776</v>
      </c>
      <c r="E17">
        <v>22031</v>
      </c>
      <c r="F17">
        <v>6951</v>
      </c>
      <c r="G17">
        <v>523</v>
      </c>
      <c r="H17" t="s">
        <v>53</v>
      </c>
      <c r="I17">
        <v>2909</v>
      </c>
      <c r="J17">
        <v>83109</v>
      </c>
    </row>
    <row r="18" spans="1:10" x14ac:dyDescent="0.45">
      <c r="A18" t="s">
        <v>54</v>
      </c>
      <c r="B18" t="s">
        <v>18</v>
      </c>
      <c r="C18" t="s">
        <v>55</v>
      </c>
      <c r="D18">
        <v>6898</v>
      </c>
      <c r="E18">
        <v>21082</v>
      </c>
      <c r="F18">
        <v>4566</v>
      </c>
      <c r="G18">
        <v>41</v>
      </c>
      <c r="H18" t="s">
        <v>56</v>
      </c>
      <c r="I18">
        <v>7434</v>
      </c>
      <c r="J18">
        <v>80111</v>
      </c>
    </row>
    <row r="19" spans="1:10" x14ac:dyDescent="0.45">
      <c r="A19" t="s">
        <v>57</v>
      </c>
      <c r="C19" t="s">
        <v>58</v>
      </c>
    </row>
    <row r="24" spans="1:10" x14ac:dyDescent="0.45">
      <c r="E24" s="1" t="s">
        <v>17</v>
      </c>
      <c r="F24" s="1">
        <v>5782</v>
      </c>
      <c r="G24" s="1">
        <v>21207</v>
      </c>
      <c r="H24" s="1">
        <v>8971</v>
      </c>
      <c r="I24">
        <f>E24+F24+H24</f>
        <v>50638</v>
      </c>
    </row>
    <row r="25" spans="1:10" x14ac:dyDescent="0.45">
      <c r="E25" s="2" t="s">
        <v>20</v>
      </c>
      <c r="F25" s="2">
        <v>5754</v>
      </c>
      <c r="G25" s="2">
        <v>21801</v>
      </c>
      <c r="H25" s="2">
        <v>8548</v>
      </c>
      <c r="I25">
        <f t="shared" ref="I25:I40" si="4">E25+F25+H25</f>
        <v>49891</v>
      </c>
    </row>
    <row r="26" spans="1:10" x14ac:dyDescent="0.45">
      <c r="E26" s="1" t="s">
        <v>22</v>
      </c>
      <c r="F26" s="1">
        <v>6007</v>
      </c>
      <c r="G26" s="1">
        <v>22313</v>
      </c>
      <c r="H26" s="1">
        <v>7697</v>
      </c>
      <c r="I26">
        <f t="shared" si="4"/>
        <v>49820</v>
      </c>
    </row>
    <row r="27" spans="1:10" x14ac:dyDescent="0.45">
      <c r="E27" s="2" t="s">
        <v>24</v>
      </c>
      <c r="F27" s="2">
        <v>6375</v>
      </c>
      <c r="G27" s="2">
        <v>24356</v>
      </c>
      <c r="H27" s="2">
        <v>8290</v>
      </c>
      <c r="I27">
        <f t="shared" si="4"/>
        <v>54214</v>
      </c>
    </row>
    <row r="28" spans="1:10" x14ac:dyDescent="0.45">
      <c r="E28" s="1" t="s">
        <v>26</v>
      </c>
      <c r="F28" s="1">
        <v>6512</v>
      </c>
      <c r="G28" s="1">
        <v>24979</v>
      </c>
      <c r="H28" s="1">
        <v>8033</v>
      </c>
      <c r="I28">
        <f t="shared" si="4"/>
        <v>55995</v>
      </c>
    </row>
    <row r="29" spans="1:10" x14ac:dyDescent="0.45">
      <c r="E29" s="2" t="s">
        <v>28</v>
      </c>
      <c r="F29" s="2">
        <v>7181</v>
      </c>
      <c r="G29" s="2">
        <v>25035</v>
      </c>
      <c r="H29" s="2">
        <v>8526</v>
      </c>
      <c r="I29">
        <f t="shared" si="4"/>
        <v>60193</v>
      </c>
    </row>
    <row r="30" spans="1:10" x14ac:dyDescent="0.45">
      <c r="E30" s="1" t="s">
        <v>30</v>
      </c>
      <c r="F30" s="1">
        <v>7856</v>
      </c>
      <c r="G30" s="1">
        <v>24010</v>
      </c>
      <c r="H30" s="1">
        <v>9221</v>
      </c>
      <c r="I30">
        <f t="shared" si="4"/>
        <v>65775</v>
      </c>
    </row>
    <row r="31" spans="1:10" x14ac:dyDescent="0.45">
      <c r="E31" s="2" t="s">
        <v>32</v>
      </c>
      <c r="F31" s="2">
        <v>8606</v>
      </c>
      <c r="G31" s="2">
        <v>27468</v>
      </c>
      <c r="H31" s="2">
        <v>10128</v>
      </c>
      <c r="I31">
        <f t="shared" si="4"/>
        <v>72762</v>
      </c>
    </row>
    <row r="32" spans="1:10" x14ac:dyDescent="0.45">
      <c r="E32" s="1" t="s">
        <v>34</v>
      </c>
      <c r="F32" s="1">
        <v>8513</v>
      </c>
      <c r="G32" s="1">
        <v>28760</v>
      </c>
      <c r="H32" s="1">
        <v>9809</v>
      </c>
      <c r="I32">
        <f t="shared" si="4"/>
        <v>72007</v>
      </c>
    </row>
    <row r="33" spans="2:12" x14ac:dyDescent="0.45">
      <c r="E33" s="2" t="s">
        <v>36</v>
      </c>
      <c r="F33" s="2">
        <v>7975</v>
      </c>
      <c r="G33" s="2">
        <v>25708</v>
      </c>
      <c r="H33" s="2">
        <v>9757</v>
      </c>
      <c r="I33">
        <f t="shared" si="4"/>
        <v>73695</v>
      </c>
    </row>
    <row r="34" spans="2:12" x14ac:dyDescent="0.45">
      <c r="E34" s="1" t="s">
        <v>39</v>
      </c>
      <c r="F34" s="1">
        <v>8501</v>
      </c>
      <c r="G34" s="1">
        <v>29954</v>
      </c>
      <c r="H34" s="1">
        <v>10238</v>
      </c>
      <c r="I34">
        <f t="shared" si="4"/>
        <v>77461</v>
      </c>
    </row>
    <row r="35" spans="2:12" x14ac:dyDescent="0.45">
      <c r="E35" s="2" t="s">
        <v>42</v>
      </c>
      <c r="F35" s="2">
        <v>8652</v>
      </c>
      <c r="G35" s="2">
        <v>31600</v>
      </c>
      <c r="H35" s="2">
        <v>10247</v>
      </c>
      <c r="I35">
        <f t="shared" si="4"/>
        <v>75101</v>
      </c>
    </row>
    <row r="36" spans="2:12" x14ac:dyDescent="0.45">
      <c r="E36" s="1" t="s">
        <v>45</v>
      </c>
      <c r="F36" s="1">
        <v>9005</v>
      </c>
      <c r="G36" s="1">
        <v>31138</v>
      </c>
      <c r="H36" s="1">
        <v>9543</v>
      </c>
      <c r="I36">
        <f t="shared" si="4"/>
        <v>72902</v>
      </c>
    </row>
    <row r="37" spans="2:12" x14ac:dyDescent="0.45">
      <c r="E37" s="2" t="s">
        <v>48</v>
      </c>
      <c r="F37" s="2">
        <v>9195</v>
      </c>
      <c r="G37" s="2">
        <v>27830</v>
      </c>
      <c r="H37" s="2">
        <v>8578</v>
      </c>
      <c r="I37">
        <f t="shared" si="4"/>
        <v>72684</v>
      </c>
    </row>
    <row r="38" spans="2:12" x14ac:dyDescent="0.45">
      <c r="E38" s="1"/>
      <c r="F38" s="1"/>
      <c r="G38" s="1"/>
      <c r="H38" s="1"/>
      <c r="I38">
        <f t="shared" si="4"/>
        <v>0</v>
      </c>
    </row>
    <row r="39" spans="2:12" x14ac:dyDescent="0.45">
      <c r="E39" s="2" t="s">
        <v>52</v>
      </c>
      <c r="F39" s="2">
        <v>6776</v>
      </c>
      <c r="G39" s="2">
        <v>22031</v>
      </c>
      <c r="H39" s="2">
        <v>6951</v>
      </c>
      <c r="I39">
        <f t="shared" si="4"/>
        <v>53013</v>
      </c>
    </row>
    <row r="40" spans="2:12" x14ac:dyDescent="0.45">
      <c r="E40" s="1" t="s">
        <v>55</v>
      </c>
      <c r="F40" s="1">
        <v>6898</v>
      </c>
      <c r="G40" s="1">
        <v>21082</v>
      </c>
      <c r="H40" s="1">
        <v>4566</v>
      </c>
      <c r="I40">
        <f t="shared" si="4"/>
        <v>51192</v>
      </c>
    </row>
    <row r="45" spans="2:12" x14ac:dyDescent="0.45">
      <c r="B45" t="s">
        <v>213</v>
      </c>
      <c r="C45" t="s">
        <v>214</v>
      </c>
      <c r="D45" t="s">
        <v>214</v>
      </c>
      <c r="E45" t="s">
        <v>215</v>
      </c>
      <c r="F45" t="s">
        <v>216</v>
      </c>
      <c r="G45" t="s">
        <v>217</v>
      </c>
      <c r="H45" t="s">
        <v>218</v>
      </c>
      <c r="I45" t="s">
        <v>219</v>
      </c>
      <c r="J45" t="s">
        <v>219</v>
      </c>
      <c r="K45">
        <v>1.333333333333333</v>
      </c>
      <c r="L45" t="s">
        <v>220</v>
      </c>
    </row>
    <row r="46" spans="2:12" x14ac:dyDescent="0.45">
      <c r="B46" t="s">
        <v>213</v>
      </c>
      <c r="C46" t="s">
        <v>221</v>
      </c>
      <c r="D46" t="s">
        <v>221</v>
      </c>
      <c r="E46" t="s">
        <v>215</v>
      </c>
      <c r="F46" t="s">
        <v>216</v>
      </c>
      <c r="G46" t="s">
        <v>217</v>
      </c>
      <c r="H46" t="s">
        <v>218</v>
      </c>
      <c r="I46" t="s">
        <v>219</v>
      </c>
      <c r="J46" t="s">
        <v>219</v>
      </c>
      <c r="K46">
        <v>1.324503311258278</v>
      </c>
      <c r="L46" t="s">
        <v>220</v>
      </c>
    </row>
    <row r="47" spans="2:12" x14ac:dyDescent="0.45">
      <c r="B47" t="s">
        <v>213</v>
      </c>
      <c r="C47" t="s">
        <v>222</v>
      </c>
      <c r="D47" t="s">
        <v>222</v>
      </c>
      <c r="E47" t="s">
        <v>215</v>
      </c>
      <c r="F47" t="s">
        <v>216</v>
      </c>
      <c r="G47" t="s">
        <v>217</v>
      </c>
      <c r="H47" t="s">
        <v>218</v>
      </c>
      <c r="I47" t="s">
        <v>219</v>
      </c>
      <c r="J47" t="s">
        <v>219</v>
      </c>
      <c r="K47">
        <v>1.3157894736842111</v>
      </c>
      <c r="L47" t="s">
        <v>220</v>
      </c>
    </row>
    <row r="48" spans="2:12" x14ac:dyDescent="0.45">
      <c r="B48" t="s">
        <v>213</v>
      </c>
      <c r="C48" t="s">
        <v>223</v>
      </c>
      <c r="D48" t="s">
        <v>223</v>
      </c>
      <c r="E48" t="s">
        <v>215</v>
      </c>
      <c r="F48" t="s">
        <v>216</v>
      </c>
      <c r="G48" t="s">
        <v>217</v>
      </c>
      <c r="H48" t="s">
        <v>218</v>
      </c>
      <c r="I48" t="s">
        <v>219</v>
      </c>
      <c r="J48" t="s">
        <v>219</v>
      </c>
      <c r="K48">
        <v>1.3072453861927551</v>
      </c>
      <c r="L48" t="s">
        <v>220</v>
      </c>
    </row>
    <row r="49" spans="2:12" x14ac:dyDescent="0.45">
      <c r="B49" t="s">
        <v>213</v>
      </c>
      <c r="C49" t="s">
        <v>224</v>
      </c>
      <c r="D49" t="s">
        <v>224</v>
      </c>
      <c r="E49" t="s">
        <v>215</v>
      </c>
      <c r="F49" t="s">
        <v>216</v>
      </c>
      <c r="G49" t="s">
        <v>217</v>
      </c>
      <c r="H49" t="s">
        <v>218</v>
      </c>
      <c r="I49" t="s">
        <v>219</v>
      </c>
      <c r="J49" t="s">
        <v>219</v>
      </c>
      <c r="K49">
        <v>1.2987012987012989</v>
      </c>
      <c r="L49" t="s">
        <v>220</v>
      </c>
    </row>
    <row r="50" spans="2:12" x14ac:dyDescent="0.45">
      <c r="B50" t="s">
        <v>213</v>
      </c>
      <c r="C50" t="s">
        <v>225</v>
      </c>
      <c r="D50" t="s">
        <v>225</v>
      </c>
      <c r="E50" t="s">
        <v>215</v>
      </c>
      <c r="F50" t="s">
        <v>216</v>
      </c>
      <c r="G50" t="s">
        <v>217</v>
      </c>
      <c r="H50" t="s">
        <v>218</v>
      </c>
      <c r="I50" t="s">
        <v>219</v>
      </c>
      <c r="J50" t="s">
        <v>219</v>
      </c>
      <c r="K50">
        <v>1.2903762903762901</v>
      </c>
      <c r="L50" t="s">
        <v>220</v>
      </c>
    </row>
    <row r="52" spans="2:12" x14ac:dyDescent="0.45">
      <c r="B52" t="s">
        <v>226</v>
      </c>
      <c r="C52" t="s">
        <v>214</v>
      </c>
      <c r="D52" t="s">
        <v>214</v>
      </c>
      <c r="E52" t="s">
        <v>215</v>
      </c>
      <c r="F52" t="s">
        <v>216</v>
      </c>
      <c r="G52" t="s">
        <v>217</v>
      </c>
      <c r="H52" t="s">
        <v>218</v>
      </c>
      <c r="I52" t="s">
        <v>219</v>
      </c>
      <c r="J52" t="s">
        <v>219</v>
      </c>
      <c r="K52">
        <v>3.333333333333333</v>
      </c>
      <c r="L52" t="s">
        <v>220</v>
      </c>
    </row>
    <row r="53" spans="2:12" x14ac:dyDescent="0.45">
      <c r="B53" t="s">
        <v>226</v>
      </c>
      <c r="C53" t="s">
        <v>221</v>
      </c>
      <c r="D53" t="s">
        <v>221</v>
      </c>
      <c r="E53" t="s">
        <v>215</v>
      </c>
      <c r="F53" t="s">
        <v>216</v>
      </c>
      <c r="G53" t="s">
        <v>217</v>
      </c>
      <c r="H53" t="s">
        <v>218</v>
      </c>
      <c r="I53" t="s">
        <v>219</v>
      </c>
      <c r="J53" t="s">
        <v>219</v>
      </c>
      <c r="K53">
        <v>3.0303030303030298</v>
      </c>
      <c r="L53" t="s">
        <v>220</v>
      </c>
    </row>
    <row r="54" spans="2:12" x14ac:dyDescent="0.45">
      <c r="B54" t="s">
        <v>226</v>
      </c>
      <c r="C54" t="s">
        <v>222</v>
      </c>
      <c r="D54" t="s">
        <v>222</v>
      </c>
      <c r="E54" t="s">
        <v>215</v>
      </c>
      <c r="F54" t="s">
        <v>216</v>
      </c>
      <c r="G54" t="s">
        <v>217</v>
      </c>
      <c r="H54" t="s">
        <v>218</v>
      </c>
      <c r="I54" t="s">
        <v>219</v>
      </c>
      <c r="J54" t="s">
        <v>219</v>
      </c>
      <c r="K54">
        <v>2.7777777777777781</v>
      </c>
      <c r="L54" t="s">
        <v>220</v>
      </c>
    </row>
    <row r="55" spans="2:12" x14ac:dyDescent="0.45">
      <c r="B55" t="s">
        <v>226</v>
      </c>
      <c r="C55" t="s">
        <v>223</v>
      </c>
      <c r="D55" t="s">
        <v>223</v>
      </c>
      <c r="E55" t="s">
        <v>215</v>
      </c>
      <c r="F55" t="s">
        <v>216</v>
      </c>
      <c r="G55" t="s">
        <v>217</v>
      </c>
      <c r="H55" t="s">
        <v>218</v>
      </c>
      <c r="I55" t="s">
        <v>219</v>
      </c>
      <c r="J55" t="s">
        <v>219</v>
      </c>
      <c r="K55">
        <v>2.5793650793650791</v>
      </c>
      <c r="L55" t="s">
        <v>220</v>
      </c>
    </row>
    <row r="56" spans="2:12" x14ac:dyDescent="0.45">
      <c r="B56" t="s">
        <v>226</v>
      </c>
      <c r="C56" t="s">
        <v>224</v>
      </c>
      <c r="D56" t="s">
        <v>224</v>
      </c>
      <c r="E56" t="s">
        <v>215</v>
      </c>
      <c r="F56" t="s">
        <v>216</v>
      </c>
      <c r="G56" t="s">
        <v>217</v>
      </c>
      <c r="H56" t="s">
        <v>218</v>
      </c>
      <c r="I56" t="s">
        <v>219</v>
      </c>
      <c r="J56" t="s">
        <v>219</v>
      </c>
      <c r="K56">
        <v>2.3809523809523809</v>
      </c>
      <c r="L56" t="s">
        <v>220</v>
      </c>
    </row>
    <row r="57" spans="2:12" x14ac:dyDescent="0.45">
      <c r="B57" t="s">
        <v>226</v>
      </c>
      <c r="C57" t="s">
        <v>225</v>
      </c>
      <c r="D57" t="s">
        <v>225</v>
      </c>
      <c r="E57" t="s">
        <v>215</v>
      </c>
      <c r="F57" t="s">
        <v>216</v>
      </c>
      <c r="G57" t="s">
        <v>217</v>
      </c>
      <c r="H57" t="s">
        <v>218</v>
      </c>
      <c r="I57" t="s">
        <v>219</v>
      </c>
      <c r="J57" t="s">
        <v>219</v>
      </c>
      <c r="K57">
        <v>2.2321428571428572</v>
      </c>
      <c r="L57" t="s">
        <v>220</v>
      </c>
    </row>
    <row r="59" spans="2:12" x14ac:dyDescent="0.45">
      <c r="B59" t="s">
        <v>229</v>
      </c>
      <c r="C59" t="s">
        <v>228</v>
      </c>
      <c r="D59" t="s">
        <v>228</v>
      </c>
      <c r="E59" t="s">
        <v>215</v>
      </c>
      <c r="F59" t="s">
        <v>216</v>
      </c>
      <c r="G59" t="s">
        <v>217</v>
      </c>
      <c r="H59" t="s">
        <v>218</v>
      </c>
      <c r="I59" t="s">
        <v>219</v>
      </c>
      <c r="J59" t="s">
        <v>219</v>
      </c>
      <c r="K59">
        <v>1.1111111111111109</v>
      </c>
      <c r="L59" t="s">
        <v>220</v>
      </c>
    </row>
    <row r="60" spans="2:12" x14ac:dyDescent="0.45">
      <c r="B60" t="s">
        <v>229</v>
      </c>
      <c r="C60" t="s">
        <v>214</v>
      </c>
      <c r="D60" t="s">
        <v>214</v>
      </c>
      <c r="E60" t="s">
        <v>215</v>
      </c>
      <c r="F60" t="s">
        <v>216</v>
      </c>
      <c r="G60" t="s">
        <v>217</v>
      </c>
      <c r="H60" t="s">
        <v>218</v>
      </c>
      <c r="I60" t="s">
        <v>219</v>
      </c>
      <c r="J60" t="s">
        <v>219</v>
      </c>
      <c r="K60">
        <v>1.1111111111111109</v>
      </c>
      <c r="L60" t="s">
        <v>220</v>
      </c>
    </row>
    <row r="61" spans="2:12" x14ac:dyDescent="0.45">
      <c r="B61" t="s">
        <v>229</v>
      </c>
      <c r="C61" t="s">
        <v>221</v>
      </c>
      <c r="D61" t="s">
        <v>221</v>
      </c>
      <c r="E61" t="s">
        <v>215</v>
      </c>
      <c r="F61" t="s">
        <v>216</v>
      </c>
      <c r="G61" t="s">
        <v>217</v>
      </c>
      <c r="H61" t="s">
        <v>218</v>
      </c>
      <c r="I61" t="s">
        <v>219</v>
      </c>
      <c r="J61" t="s">
        <v>219</v>
      </c>
      <c r="K61">
        <v>1.104972375690608</v>
      </c>
      <c r="L61" t="s">
        <v>220</v>
      </c>
    </row>
    <row r="62" spans="2:12" x14ac:dyDescent="0.45">
      <c r="B62" t="s">
        <v>229</v>
      </c>
      <c r="C62" t="s">
        <v>222</v>
      </c>
      <c r="D62" t="s">
        <v>222</v>
      </c>
      <c r="E62" t="s">
        <v>215</v>
      </c>
      <c r="F62" t="s">
        <v>216</v>
      </c>
      <c r="G62" t="s">
        <v>217</v>
      </c>
      <c r="H62" t="s">
        <v>218</v>
      </c>
      <c r="I62" t="s">
        <v>219</v>
      </c>
      <c r="J62" t="s">
        <v>219</v>
      </c>
      <c r="K62">
        <v>1.098901098901099</v>
      </c>
      <c r="L62" t="s">
        <v>220</v>
      </c>
    </row>
    <row r="63" spans="2:12" x14ac:dyDescent="0.45">
      <c r="B63" t="s">
        <v>229</v>
      </c>
      <c r="C63" t="s">
        <v>223</v>
      </c>
      <c r="D63" t="s">
        <v>223</v>
      </c>
      <c r="E63" t="s">
        <v>215</v>
      </c>
      <c r="F63" t="s">
        <v>216</v>
      </c>
      <c r="G63" t="s">
        <v>217</v>
      </c>
      <c r="H63" t="s">
        <v>218</v>
      </c>
      <c r="I63" t="s">
        <v>219</v>
      </c>
      <c r="J63" t="s">
        <v>219</v>
      </c>
      <c r="K63">
        <v>1.0929288103201149</v>
      </c>
      <c r="L63" t="s">
        <v>220</v>
      </c>
    </row>
    <row r="64" spans="2:12" x14ac:dyDescent="0.45">
      <c r="B64" t="s">
        <v>229</v>
      </c>
      <c r="C64" t="s">
        <v>224</v>
      </c>
      <c r="D64" t="s">
        <v>224</v>
      </c>
      <c r="E64" t="s">
        <v>215</v>
      </c>
      <c r="F64" t="s">
        <v>216</v>
      </c>
      <c r="G64" t="s">
        <v>217</v>
      </c>
      <c r="H64" t="s">
        <v>218</v>
      </c>
      <c r="I64" t="s">
        <v>219</v>
      </c>
      <c r="J64" t="s">
        <v>219</v>
      </c>
      <c r="K64">
        <v>1.0869565217391299</v>
      </c>
      <c r="L64" t="s">
        <v>220</v>
      </c>
    </row>
    <row r="65" spans="2:12" x14ac:dyDescent="0.45">
      <c r="B65" t="s">
        <v>229</v>
      </c>
      <c r="C65" t="s">
        <v>225</v>
      </c>
      <c r="D65" t="s">
        <v>225</v>
      </c>
      <c r="E65" t="s">
        <v>215</v>
      </c>
      <c r="F65" t="s">
        <v>216</v>
      </c>
      <c r="G65" t="s">
        <v>217</v>
      </c>
      <c r="H65" t="s">
        <v>218</v>
      </c>
      <c r="I65" t="s">
        <v>219</v>
      </c>
      <c r="J65" t="s">
        <v>219</v>
      </c>
      <c r="K65">
        <v>1.0811126694717159</v>
      </c>
      <c r="L65" t="s">
        <v>220</v>
      </c>
    </row>
    <row r="67" spans="2:12" x14ac:dyDescent="0.45">
      <c r="B67" t="s">
        <v>230</v>
      </c>
      <c r="C67" t="s">
        <v>231</v>
      </c>
      <c r="D67" t="s">
        <v>223</v>
      </c>
      <c r="E67" t="s">
        <v>215</v>
      </c>
      <c r="F67" t="s">
        <v>216</v>
      </c>
      <c r="G67" t="s">
        <v>217</v>
      </c>
      <c r="H67" t="s">
        <v>232</v>
      </c>
      <c r="I67" t="s">
        <v>219</v>
      </c>
      <c r="J67" t="s">
        <v>219</v>
      </c>
      <c r="K67">
        <v>1.361111104488373</v>
      </c>
      <c r="L67" t="s">
        <v>220</v>
      </c>
    </row>
    <row r="68" spans="2:12" x14ac:dyDescent="0.45">
      <c r="B68" t="s">
        <v>230</v>
      </c>
      <c r="C68" t="s">
        <v>231</v>
      </c>
      <c r="D68" t="s">
        <v>224</v>
      </c>
      <c r="E68" t="s">
        <v>215</v>
      </c>
      <c r="F68" t="s">
        <v>216</v>
      </c>
      <c r="G68" t="s">
        <v>217</v>
      </c>
      <c r="H68" t="s">
        <v>232</v>
      </c>
      <c r="I68" t="s">
        <v>219</v>
      </c>
      <c r="J68" t="s">
        <v>219</v>
      </c>
      <c r="K68">
        <v>1.333333373069763</v>
      </c>
      <c r="L68" t="s">
        <v>220</v>
      </c>
    </row>
    <row r="69" spans="2:12" x14ac:dyDescent="0.45">
      <c r="B69" t="s">
        <v>230</v>
      </c>
      <c r="C69" t="s">
        <v>233</v>
      </c>
      <c r="D69" t="s">
        <v>223</v>
      </c>
      <c r="E69" t="s">
        <v>215</v>
      </c>
      <c r="F69" t="s">
        <v>216</v>
      </c>
      <c r="G69" t="s">
        <v>217</v>
      </c>
      <c r="H69" t="s">
        <v>232</v>
      </c>
      <c r="I69" t="s">
        <v>219</v>
      </c>
      <c r="J69" t="s">
        <v>219</v>
      </c>
      <c r="K69">
        <v>1.361111104488373</v>
      </c>
      <c r="L69" t="s">
        <v>220</v>
      </c>
    </row>
    <row r="70" spans="2:12" x14ac:dyDescent="0.45">
      <c r="B70" t="s">
        <v>230</v>
      </c>
      <c r="C70" t="s">
        <v>233</v>
      </c>
      <c r="D70" t="s">
        <v>224</v>
      </c>
      <c r="E70" t="s">
        <v>215</v>
      </c>
      <c r="F70" t="s">
        <v>216</v>
      </c>
      <c r="G70" t="s">
        <v>217</v>
      </c>
      <c r="H70" t="s">
        <v>232</v>
      </c>
      <c r="I70" t="s">
        <v>219</v>
      </c>
      <c r="J70" t="s">
        <v>219</v>
      </c>
      <c r="K70">
        <v>1.333333373069763</v>
      </c>
      <c r="L70" t="s">
        <v>220</v>
      </c>
    </row>
    <row r="71" spans="2:12" x14ac:dyDescent="0.45">
      <c r="B71" t="s">
        <v>230</v>
      </c>
      <c r="C71" t="s">
        <v>233</v>
      </c>
      <c r="D71" t="s">
        <v>225</v>
      </c>
      <c r="E71" t="s">
        <v>215</v>
      </c>
      <c r="F71" t="s">
        <v>216</v>
      </c>
      <c r="G71" t="s">
        <v>217</v>
      </c>
      <c r="H71" t="s">
        <v>232</v>
      </c>
      <c r="I71" t="s">
        <v>219</v>
      </c>
      <c r="J71" t="s">
        <v>219</v>
      </c>
      <c r="K71">
        <v>1.307692348957062</v>
      </c>
      <c r="L71" t="s">
        <v>220</v>
      </c>
    </row>
    <row r="72" spans="2:12" x14ac:dyDescent="0.45">
      <c r="B72" t="s">
        <v>230</v>
      </c>
      <c r="C72" t="s">
        <v>234</v>
      </c>
      <c r="D72" t="s">
        <v>223</v>
      </c>
      <c r="E72" t="s">
        <v>215</v>
      </c>
      <c r="F72" t="s">
        <v>216</v>
      </c>
      <c r="G72" t="s">
        <v>217</v>
      </c>
      <c r="H72" t="s">
        <v>232</v>
      </c>
      <c r="I72" t="s">
        <v>219</v>
      </c>
      <c r="J72" t="s">
        <v>219</v>
      </c>
      <c r="K72">
        <v>1.361111104488373</v>
      </c>
      <c r="L72" t="s">
        <v>220</v>
      </c>
    </row>
    <row r="73" spans="2:12" x14ac:dyDescent="0.45">
      <c r="B73" t="s">
        <v>230</v>
      </c>
      <c r="C73" t="s">
        <v>234</v>
      </c>
      <c r="D73" t="s">
        <v>224</v>
      </c>
      <c r="E73" t="s">
        <v>215</v>
      </c>
      <c r="F73" t="s">
        <v>216</v>
      </c>
      <c r="G73" t="s">
        <v>217</v>
      </c>
      <c r="H73" t="s">
        <v>232</v>
      </c>
      <c r="I73" t="s">
        <v>219</v>
      </c>
      <c r="J73" t="s">
        <v>219</v>
      </c>
      <c r="K73">
        <v>1.333333373069763</v>
      </c>
      <c r="L73" t="s">
        <v>220</v>
      </c>
    </row>
    <row r="74" spans="2:12" x14ac:dyDescent="0.45">
      <c r="B74" t="s">
        <v>230</v>
      </c>
      <c r="C74" t="s">
        <v>234</v>
      </c>
      <c r="D74" t="s">
        <v>225</v>
      </c>
      <c r="E74" t="s">
        <v>215</v>
      </c>
      <c r="F74" t="s">
        <v>216</v>
      </c>
      <c r="G74" t="s">
        <v>217</v>
      </c>
      <c r="H74" t="s">
        <v>232</v>
      </c>
      <c r="I74" t="s">
        <v>219</v>
      </c>
      <c r="J74" t="s">
        <v>219</v>
      </c>
      <c r="K74">
        <v>1.307692348957062</v>
      </c>
      <c r="L74" t="s">
        <v>220</v>
      </c>
    </row>
    <row r="75" spans="2:12" x14ac:dyDescent="0.45">
      <c r="B75" t="s">
        <v>230</v>
      </c>
      <c r="C75" t="s">
        <v>235</v>
      </c>
      <c r="D75" t="s">
        <v>223</v>
      </c>
      <c r="E75" t="s">
        <v>215</v>
      </c>
      <c r="F75" t="s">
        <v>216</v>
      </c>
      <c r="G75" t="s">
        <v>217</v>
      </c>
      <c r="H75" t="s">
        <v>232</v>
      </c>
      <c r="I75" t="s">
        <v>219</v>
      </c>
      <c r="J75" t="s">
        <v>219</v>
      </c>
      <c r="K75">
        <v>1.361111104488373</v>
      </c>
      <c r="L75" t="s">
        <v>220</v>
      </c>
    </row>
    <row r="76" spans="2:12" x14ac:dyDescent="0.45">
      <c r="B76" t="s">
        <v>230</v>
      </c>
      <c r="C76" t="s">
        <v>235</v>
      </c>
      <c r="D76" t="s">
        <v>224</v>
      </c>
      <c r="E76" t="s">
        <v>215</v>
      </c>
      <c r="F76" t="s">
        <v>216</v>
      </c>
      <c r="G76" t="s">
        <v>217</v>
      </c>
      <c r="H76" t="s">
        <v>232</v>
      </c>
      <c r="I76" t="s">
        <v>219</v>
      </c>
      <c r="J76" t="s">
        <v>219</v>
      </c>
      <c r="K76">
        <v>1.333333373069763</v>
      </c>
      <c r="L76" t="s">
        <v>220</v>
      </c>
    </row>
    <row r="77" spans="2:12" x14ac:dyDescent="0.45">
      <c r="B77" t="s">
        <v>230</v>
      </c>
      <c r="C77" t="s">
        <v>235</v>
      </c>
      <c r="D77" t="s">
        <v>225</v>
      </c>
      <c r="E77" t="s">
        <v>215</v>
      </c>
      <c r="F77" t="s">
        <v>216</v>
      </c>
      <c r="G77" t="s">
        <v>217</v>
      </c>
      <c r="H77" t="s">
        <v>232</v>
      </c>
      <c r="I77" t="s">
        <v>219</v>
      </c>
      <c r="J77" t="s">
        <v>219</v>
      </c>
      <c r="K77">
        <v>1.307692348957062</v>
      </c>
      <c r="L77" t="s">
        <v>220</v>
      </c>
    </row>
    <row r="78" spans="2:12" x14ac:dyDescent="0.45">
      <c r="B78" t="s">
        <v>230</v>
      </c>
      <c r="C78" t="s">
        <v>236</v>
      </c>
      <c r="D78" t="s">
        <v>223</v>
      </c>
      <c r="E78" t="s">
        <v>215</v>
      </c>
      <c r="F78" t="s">
        <v>216</v>
      </c>
      <c r="G78" t="s">
        <v>217</v>
      </c>
      <c r="H78" t="s">
        <v>232</v>
      </c>
      <c r="I78" t="s">
        <v>219</v>
      </c>
      <c r="J78" t="s">
        <v>219</v>
      </c>
      <c r="K78">
        <v>1.361111104488373</v>
      </c>
      <c r="L78" t="s">
        <v>220</v>
      </c>
    </row>
    <row r="79" spans="2:12" x14ac:dyDescent="0.45">
      <c r="B79" t="s">
        <v>230</v>
      </c>
      <c r="C79" t="s">
        <v>236</v>
      </c>
      <c r="D79" t="s">
        <v>224</v>
      </c>
      <c r="E79" t="s">
        <v>215</v>
      </c>
      <c r="F79" t="s">
        <v>216</v>
      </c>
      <c r="G79" t="s">
        <v>217</v>
      </c>
      <c r="H79" t="s">
        <v>232</v>
      </c>
      <c r="I79" t="s">
        <v>219</v>
      </c>
      <c r="J79" t="s">
        <v>219</v>
      </c>
      <c r="K79">
        <v>1.333333373069763</v>
      </c>
      <c r="L79" t="s">
        <v>220</v>
      </c>
    </row>
    <row r="80" spans="2:12" x14ac:dyDescent="0.45">
      <c r="B80" t="s">
        <v>230</v>
      </c>
      <c r="C80" t="s">
        <v>236</v>
      </c>
      <c r="D80" t="s">
        <v>225</v>
      </c>
      <c r="E80" t="s">
        <v>215</v>
      </c>
      <c r="F80" t="s">
        <v>216</v>
      </c>
      <c r="G80" t="s">
        <v>217</v>
      </c>
      <c r="H80" t="s">
        <v>232</v>
      </c>
      <c r="I80" t="s">
        <v>219</v>
      </c>
      <c r="J80" t="s">
        <v>219</v>
      </c>
      <c r="K80">
        <v>1.307692348957062</v>
      </c>
      <c r="L80" t="s">
        <v>220</v>
      </c>
    </row>
    <row r="81" spans="2:12" x14ac:dyDescent="0.45">
      <c r="B81" t="s">
        <v>230</v>
      </c>
      <c r="C81" t="s">
        <v>227</v>
      </c>
      <c r="D81" t="s">
        <v>223</v>
      </c>
      <c r="E81" t="s">
        <v>215</v>
      </c>
      <c r="F81" t="s">
        <v>216</v>
      </c>
      <c r="G81" t="s">
        <v>217</v>
      </c>
      <c r="H81" t="s">
        <v>232</v>
      </c>
      <c r="I81" t="s">
        <v>219</v>
      </c>
      <c r="J81" t="s">
        <v>219</v>
      </c>
      <c r="K81">
        <v>1.3611111111111109</v>
      </c>
      <c r="L81" t="s">
        <v>220</v>
      </c>
    </row>
    <row r="82" spans="2:12" x14ac:dyDescent="0.45">
      <c r="B82" t="s">
        <v>230</v>
      </c>
      <c r="C82" t="s">
        <v>227</v>
      </c>
      <c r="D82" t="s">
        <v>224</v>
      </c>
      <c r="E82" t="s">
        <v>215</v>
      </c>
      <c r="F82" t="s">
        <v>216</v>
      </c>
      <c r="G82" t="s">
        <v>217</v>
      </c>
      <c r="H82" t="s">
        <v>232</v>
      </c>
      <c r="I82" t="s">
        <v>219</v>
      </c>
      <c r="J82" t="s">
        <v>219</v>
      </c>
      <c r="K82">
        <v>1.333333333333333</v>
      </c>
      <c r="L82" t="s">
        <v>220</v>
      </c>
    </row>
    <row r="83" spans="2:12" x14ac:dyDescent="0.45">
      <c r="B83" t="s">
        <v>230</v>
      </c>
      <c r="C83" t="s">
        <v>227</v>
      </c>
      <c r="D83" t="s">
        <v>225</v>
      </c>
      <c r="E83" t="s">
        <v>215</v>
      </c>
      <c r="F83" t="s">
        <v>216</v>
      </c>
      <c r="G83" t="s">
        <v>217</v>
      </c>
      <c r="H83" t="s">
        <v>232</v>
      </c>
      <c r="I83" t="s">
        <v>219</v>
      </c>
      <c r="J83" t="s">
        <v>219</v>
      </c>
      <c r="K83">
        <v>1.307692307692307</v>
      </c>
      <c r="L83" t="s">
        <v>220</v>
      </c>
    </row>
    <row r="84" spans="2:12" x14ac:dyDescent="0.45">
      <c r="B84" t="s">
        <v>230</v>
      </c>
      <c r="C84" t="s">
        <v>228</v>
      </c>
      <c r="D84" t="s">
        <v>223</v>
      </c>
      <c r="E84" t="s">
        <v>215</v>
      </c>
      <c r="F84" t="s">
        <v>216</v>
      </c>
      <c r="G84" t="s">
        <v>217</v>
      </c>
      <c r="H84" t="s">
        <v>232</v>
      </c>
      <c r="I84" t="s">
        <v>219</v>
      </c>
      <c r="J84" t="s">
        <v>219</v>
      </c>
      <c r="K84">
        <v>1.3611111111111109</v>
      </c>
      <c r="L84" t="s">
        <v>220</v>
      </c>
    </row>
    <row r="85" spans="2:12" x14ac:dyDescent="0.45">
      <c r="B85" t="s">
        <v>230</v>
      </c>
      <c r="C85" t="s">
        <v>228</v>
      </c>
      <c r="D85" t="s">
        <v>224</v>
      </c>
      <c r="E85" t="s">
        <v>215</v>
      </c>
      <c r="F85" t="s">
        <v>216</v>
      </c>
      <c r="G85" t="s">
        <v>217</v>
      </c>
      <c r="H85" t="s">
        <v>232</v>
      </c>
      <c r="I85" t="s">
        <v>219</v>
      </c>
      <c r="J85" t="s">
        <v>219</v>
      </c>
      <c r="K85">
        <v>1.333333333333333</v>
      </c>
      <c r="L85" t="s">
        <v>220</v>
      </c>
    </row>
    <row r="86" spans="2:12" x14ac:dyDescent="0.45">
      <c r="B86" t="s">
        <v>230</v>
      </c>
      <c r="C86" t="s">
        <v>228</v>
      </c>
      <c r="D86" t="s">
        <v>225</v>
      </c>
      <c r="E86" t="s">
        <v>215</v>
      </c>
      <c r="F86" t="s">
        <v>216</v>
      </c>
      <c r="G86" t="s">
        <v>217</v>
      </c>
      <c r="H86" t="s">
        <v>232</v>
      </c>
      <c r="I86" t="s">
        <v>219</v>
      </c>
      <c r="J86" t="s">
        <v>219</v>
      </c>
      <c r="K86">
        <v>1.307692307692307</v>
      </c>
      <c r="L86" t="s">
        <v>220</v>
      </c>
    </row>
    <row r="87" spans="2:12" x14ac:dyDescent="0.45">
      <c r="B87" t="s">
        <v>230</v>
      </c>
      <c r="C87" t="s">
        <v>214</v>
      </c>
      <c r="D87" t="s">
        <v>223</v>
      </c>
      <c r="E87" t="s">
        <v>215</v>
      </c>
      <c r="F87" t="s">
        <v>216</v>
      </c>
      <c r="G87" t="s">
        <v>217</v>
      </c>
      <c r="H87" t="s">
        <v>232</v>
      </c>
      <c r="I87" t="s">
        <v>219</v>
      </c>
      <c r="J87" t="s">
        <v>219</v>
      </c>
      <c r="K87">
        <v>1.3611111111111109</v>
      </c>
      <c r="L87" t="s">
        <v>220</v>
      </c>
    </row>
    <row r="88" spans="2:12" x14ac:dyDescent="0.45">
      <c r="B88" t="s">
        <v>230</v>
      </c>
      <c r="C88" t="s">
        <v>214</v>
      </c>
      <c r="D88" t="s">
        <v>224</v>
      </c>
      <c r="E88" t="s">
        <v>215</v>
      </c>
      <c r="F88" t="s">
        <v>216</v>
      </c>
      <c r="G88" t="s">
        <v>217</v>
      </c>
      <c r="H88" t="s">
        <v>232</v>
      </c>
      <c r="I88" t="s">
        <v>219</v>
      </c>
      <c r="J88" t="s">
        <v>219</v>
      </c>
      <c r="K88">
        <v>1.333333333333333</v>
      </c>
      <c r="L88" t="s">
        <v>220</v>
      </c>
    </row>
    <row r="89" spans="2:12" x14ac:dyDescent="0.45">
      <c r="B89" t="s">
        <v>230</v>
      </c>
      <c r="C89" t="s">
        <v>214</v>
      </c>
      <c r="D89" t="s">
        <v>225</v>
      </c>
      <c r="E89" t="s">
        <v>215</v>
      </c>
      <c r="F89" t="s">
        <v>216</v>
      </c>
      <c r="G89" t="s">
        <v>217</v>
      </c>
      <c r="H89" t="s">
        <v>232</v>
      </c>
      <c r="I89" t="s">
        <v>219</v>
      </c>
      <c r="J89" t="s">
        <v>219</v>
      </c>
      <c r="K89">
        <v>1.307692307692307</v>
      </c>
      <c r="L89" t="s">
        <v>220</v>
      </c>
    </row>
    <row r="90" spans="2:12" x14ac:dyDescent="0.45">
      <c r="B90" t="s">
        <v>230</v>
      </c>
      <c r="C90" t="s">
        <v>221</v>
      </c>
      <c r="D90" t="s">
        <v>223</v>
      </c>
      <c r="E90" t="s">
        <v>215</v>
      </c>
      <c r="F90" t="s">
        <v>216</v>
      </c>
      <c r="G90" t="s">
        <v>217</v>
      </c>
      <c r="H90" t="s">
        <v>232</v>
      </c>
      <c r="I90" t="s">
        <v>219</v>
      </c>
      <c r="J90" t="s">
        <v>219</v>
      </c>
      <c r="K90">
        <v>1.3611111111111109</v>
      </c>
      <c r="L90" t="s">
        <v>220</v>
      </c>
    </row>
    <row r="91" spans="2:12" x14ac:dyDescent="0.45">
      <c r="B91" t="s">
        <v>230</v>
      </c>
      <c r="C91" t="s">
        <v>221</v>
      </c>
      <c r="D91" t="s">
        <v>224</v>
      </c>
      <c r="E91" t="s">
        <v>215</v>
      </c>
      <c r="F91" t="s">
        <v>216</v>
      </c>
      <c r="G91" t="s">
        <v>217</v>
      </c>
      <c r="H91" t="s">
        <v>232</v>
      </c>
      <c r="I91" t="s">
        <v>219</v>
      </c>
      <c r="J91" t="s">
        <v>219</v>
      </c>
      <c r="K91">
        <v>1.333333333333333</v>
      </c>
      <c r="L91" t="s">
        <v>220</v>
      </c>
    </row>
    <row r="92" spans="2:12" x14ac:dyDescent="0.45">
      <c r="B92" t="s">
        <v>230</v>
      </c>
      <c r="C92" t="s">
        <v>221</v>
      </c>
      <c r="D92" t="s">
        <v>225</v>
      </c>
      <c r="E92" t="s">
        <v>215</v>
      </c>
      <c r="F92" t="s">
        <v>216</v>
      </c>
      <c r="G92" t="s">
        <v>217</v>
      </c>
      <c r="H92" t="s">
        <v>232</v>
      </c>
      <c r="I92" t="s">
        <v>219</v>
      </c>
      <c r="J92" t="s">
        <v>219</v>
      </c>
      <c r="K92">
        <v>1.307692307692307</v>
      </c>
      <c r="L92" t="s">
        <v>220</v>
      </c>
    </row>
    <row r="93" spans="2:12" x14ac:dyDescent="0.45">
      <c r="B93" t="s">
        <v>230</v>
      </c>
      <c r="C93" t="s">
        <v>222</v>
      </c>
      <c r="D93" t="s">
        <v>223</v>
      </c>
      <c r="E93" t="s">
        <v>215</v>
      </c>
      <c r="F93" t="s">
        <v>216</v>
      </c>
      <c r="G93" t="s">
        <v>217</v>
      </c>
      <c r="H93" t="s">
        <v>232</v>
      </c>
      <c r="I93" t="s">
        <v>219</v>
      </c>
      <c r="J93" t="s">
        <v>219</v>
      </c>
      <c r="K93">
        <v>1.3611111111111109</v>
      </c>
      <c r="L93" t="s">
        <v>220</v>
      </c>
    </row>
    <row r="94" spans="2:12" x14ac:dyDescent="0.45">
      <c r="B94" t="s">
        <v>230</v>
      </c>
      <c r="C94" t="s">
        <v>222</v>
      </c>
      <c r="D94" t="s">
        <v>224</v>
      </c>
      <c r="E94" t="s">
        <v>215</v>
      </c>
      <c r="F94" t="s">
        <v>216</v>
      </c>
      <c r="G94" t="s">
        <v>217</v>
      </c>
      <c r="H94" t="s">
        <v>232</v>
      </c>
      <c r="I94" t="s">
        <v>219</v>
      </c>
      <c r="J94" t="s">
        <v>219</v>
      </c>
      <c r="K94">
        <v>1.333333333333333</v>
      </c>
      <c r="L94" t="s">
        <v>220</v>
      </c>
    </row>
    <row r="95" spans="2:12" x14ac:dyDescent="0.45">
      <c r="B95" t="s">
        <v>230</v>
      </c>
      <c r="C95" t="s">
        <v>222</v>
      </c>
      <c r="D95" t="s">
        <v>225</v>
      </c>
      <c r="E95" t="s">
        <v>215</v>
      </c>
      <c r="F95" t="s">
        <v>216</v>
      </c>
      <c r="G95" t="s">
        <v>217</v>
      </c>
      <c r="H95" t="s">
        <v>232</v>
      </c>
      <c r="I95" t="s">
        <v>219</v>
      </c>
      <c r="J95" t="s">
        <v>219</v>
      </c>
      <c r="K95">
        <v>1.307692307692307</v>
      </c>
      <c r="L95" t="s">
        <v>220</v>
      </c>
    </row>
    <row r="96" spans="2:12" x14ac:dyDescent="0.45">
      <c r="B96" s="3" t="s">
        <v>230</v>
      </c>
      <c r="C96" s="3" t="s">
        <v>223</v>
      </c>
      <c r="D96" s="3" t="s">
        <v>223</v>
      </c>
      <c r="E96" s="3" t="s">
        <v>215</v>
      </c>
      <c r="F96" s="3" t="s">
        <v>216</v>
      </c>
      <c r="G96" s="3" t="s">
        <v>217</v>
      </c>
      <c r="H96" s="3" t="s">
        <v>232</v>
      </c>
      <c r="I96" s="3" t="s">
        <v>219</v>
      </c>
      <c r="J96" s="3" t="s">
        <v>219</v>
      </c>
      <c r="K96" s="3">
        <v>1.3611111111111109</v>
      </c>
      <c r="L96" s="3" t="s">
        <v>220</v>
      </c>
    </row>
    <row r="97" spans="2:12" x14ac:dyDescent="0.45">
      <c r="B97" t="s">
        <v>230</v>
      </c>
      <c r="C97" t="s">
        <v>223</v>
      </c>
      <c r="D97" t="s">
        <v>224</v>
      </c>
      <c r="E97" t="s">
        <v>215</v>
      </c>
      <c r="F97" t="s">
        <v>216</v>
      </c>
      <c r="G97" t="s">
        <v>217</v>
      </c>
      <c r="H97" t="s">
        <v>232</v>
      </c>
      <c r="I97" t="s">
        <v>219</v>
      </c>
      <c r="J97" t="s">
        <v>219</v>
      </c>
      <c r="K97">
        <v>1.333333333333333</v>
      </c>
      <c r="L97" t="s">
        <v>220</v>
      </c>
    </row>
    <row r="98" spans="2:12" x14ac:dyDescent="0.45">
      <c r="B98" t="s">
        <v>230</v>
      </c>
      <c r="C98" t="s">
        <v>223</v>
      </c>
      <c r="D98" t="s">
        <v>225</v>
      </c>
      <c r="E98" t="s">
        <v>215</v>
      </c>
      <c r="F98" t="s">
        <v>216</v>
      </c>
      <c r="G98" t="s">
        <v>217</v>
      </c>
      <c r="H98" t="s">
        <v>232</v>
      </c>
      <c r="I98" t="s">
        <v>219</v>
      </c>
      <c r="J98" t="s">
        <v>219</v>
      </c>
      <c r="K98">
        <v>1.307692307692307</v>
      </c>
      <c r="L98" t="s">
        <v>220</v>
      </c>
    </row>
    <row r="99" spans="2:12" x14ac:dyDescent="0.45">
      <c r="B99" s="3" t="s">
        <v>230</v>
      </c>
      <c r="C99" s="3" t="s">
        <v>224</v>
      </c>
      <c r="D99" s="3" t="s">
        <v>224</v>
      </c>
      <c r="E99" s="3" t="s">
        <v>215</v>
      </c>
      <c r="F99" s="3" t="s">
        <v>216</v>
      </c>
      <c r="G99" s="3" t="s">
        <v>217</v>
      </c>
      <c r="H99" s="3" t="s">
        <v>232</v>
      </c>
      <c r="I99" s="3" t="s">
        <v>219</v>
      </c>
      <c r="J99" s="3" t="s">
        <v>219</v>
      </c>
      <c r="K99" s="3">
        <v>1.333333333333333</v>
      </c>
      <c r="L99" s="3" t="s">
        <v>220</v>
      </c>
    </row>
    <row r="100" spans="2:12" x14ac:dyDescent="0.45">
      <c r="B100" t="s">
        <v>230</v>
      </c>
      <c r="C100" t="s">
        <v>224</v>
      </c>
      <c r="D100" t="s">
        <v>225</v>
      </c>
      <c r="E100" t="s">
        <v>215</v>
      </c>
      <c r="F100" t="s">
        <v>216</v>
      </c>
      <c r="G100" t="s">
        <v>217</v>
      </c>
      <c r="H100" t="s">
        <v>232</v>
      </c>
      <c r="I100" t="s">
        <v>219</v>
      </c>
      <c r="J100" t="s">
        <v>219</v>
      </c>
      <c r="K100">
        <v>1.307692307692307</v>
      </c>
      <c r="L100" t="s">
        <v>220</v>
      </c>
    </row>
    <row r="101" spans="2:12" x14ac:dyDescent="0.45">
      <c r="B101" s="3" t="s">
        <v>230</v>
      </c>
      <c r="C101" s="3" t="s">
        <v>225</v>
      </c>
      <c r="D101" s="3" t="s">
        <v>225</v>
      </c>
      <c r="E101" s="3" t="s">
        <v>215</v>
      </c>
      <c r="F101" s="3" t="s">
        <v>216</v>
      </c>
      <c r="G101" s="3" t="s">
        <v>217</v>
      </c>
      <c r="H101" s="3" t="s">
        <v>232</v>
      </c>
      <c r="I101" s="3" t="s">
        <v>219</v>
      </c>
      <c r="J101" s="3" t="s">
        <v>219</v>
      </c>
      <c r="K101" s="3">
        <v>1.307692307692307</v>
      </c>
      <c r="L101" s="3" t="s">
        <v>220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F3E2A-BE21-4FB0-AB20-669F75FB2EEA}">
  <dimension ref="A1:O42"/>
  <sheetViews>
    <sheetView tabSelected="1" workbookViewId="0">
      <selection sqref="A1:O1"/>
    </sheetView>
  </sheetViews>
  <sheetFormatPr defaultRowHeight="14.25" x14ac:dyDescent="0.45"/>
  <cols>
    <col min="1" max="3" width="10.73046875" bestFit="1" customWidth="1"/>
    <col min="4" max="4" width="11.53125" bestFit="1" customWidth="1"/>
    <col min="5" max="5" width="16.19921875" bestFit="1" customWidth="1"/>
    <col min="6" max="6" width="11.1328125" bestFit="1" customWidth="1"/>
    <col min="7" max="7" width="11" bestFit="1" customWidth="1"/>
    <col min="8" max="9" width="10.73046875" bestFit="1" customWidth="1"/>
    <col min="10" max="11" width="11.6640625" bestFit="1" customWidth="1"/>
    <col min="12" max="12" width="20.06640625" bestFit="1" customWidth="1"/>
    <col min="13" max="15" width="11.664062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E2" t="s">
        <v>69</v>
      </c>
    </row>
    <row r="3" spans="1:15" x14ac:dyDescent="0.45">
      <c r="A3" t="s">
        <v>70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68</v>
      </c>
    </row>
    <row r="4" spans="1:15" x14ac:dyDescent="0.45">
      <c r="A4" t="s">
        <v>78</v>
      </c>
      <c r="B4" t="s">
        <v>79</v>
      </c>
      <c r="C4" t="s">
        <v>80</v>
      </c>
      <c r="D4" t="s">
        <v>81</v>
      </c>
      <c r="E4" t="s">
        <v>82</v>
      </c>
      <c r="F4" t="s">
        <v>83</v>
      </c>
      <c r="G4" t="s">
        <v>84</v>
      </c>
      <c r="H4" t="s">
        <v>85</v>
      </c>
      <c r="I4" t="s">
        <v>86</v>
      </c>
    </row>
    <row r="5" spans="1:15" x14ac:dyDescent="0.45">
      <c r="A5" t="s">
        <v>87</v>
      </c>
      <c r="B5" t="s">
        <v>88</v>
      </c>
      <c r="C5" t="s">
        <v>89</v>
      </c>
      <c r="D5" t="s">
        <v>90</v>
      </c>
      <c r="E5" t="s">
        <v>91</v>
      </c>
      <c r="F5" t="s">
        <v>92</v>
      </c>
      <c r="G5" t="s">
        <v>93</v>
      </c>
      <c r="H5" t="s">
        <v>94</v>
      </c>
      <c r="I5" t="s">
        <v>95</v>
      </c>
    </row>
    <row r="6" spans="1:15" x14ac:dyDescent="0.45">
      <c r="A6" t="s">
        <v>96</v>
      </c>
      <c r="B6" t="s">
        <v>97</v>
      </c>
      <c r="C6" t="s">
        <v>98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</row>
    <row r="7" spans="1:15" x14ac:dyDescent="0.45">
      <c r="A7" t="s">
        <v>105</v>
      </c>
      <c r="B7" t="s">
        <v>106</v>
      </c>
      <c r="C7" t="s">
        <v>107</v>
      </c>
      <c r="D7" t="s">
        <v>108</v>
      </c>
      <c r="E7" t="s">
        <v>109</v>
      </c>
      <c r="F7" t="s">
        <v>110</v>
      </c>
      <c r="G7" t="s">
        <v>111</v>
      </c>
      <c r="H7" t="s">
        <v>112</v>
      </c>
      <c r="I7" t="s">
        <v>113</v>
      </c>
    </row>
    <row r="8" spans="1:15" x14ac:dyDescent="0.45">
      <c r="A8" t="s">
        <v>114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  <c r="H8" t="s">
        <v>121</v>
      </c>
      <c r="I8" t="s">
        <v>122</v>
      </c>
    </row>
    <row r="9" spans="1:15" x14ac:dyDescent="0.45">
      <c r="A9" t="s">
        <v>123</v>
      </c>
      <c r="B9" t="s">
        <v>79</v>
      </c>
      <c r="C9" t="s">
        <v>124</v>
      </c>
      <c r="D9" t="s">
        <v>125</v>
      </c>
      <c r="E9" t="s">
        <v>126</v>
      </c>
      <c r="F9" t="s">
        <v>127</v>
      </c>
      <c r="G9" t="s">
        <v>128</v>
      </c>
      <c r="H9" t="s">
        <v>129</v>
      </c>
      <c r="I9" t="s">
        <v>130</v>
      </c>
    </row>
    <row r="10" spans="1:15" x14ac:dyDescent="0.45">
      <c r="A10" t="s">
        <v>131</v>
      </c>
      <c r="B10" t="s">
        <v>115</v>
      </c>
      <c r="C10" t="s">
        <v>132</v>
      </c>
      <c r="D10" t="s">
        <v>133</v>
      </c>
      <c r="E10" t="s">
        <v>134</v>
      </c>
      <c r="F10" t="s">
        <v>135</v>
      </c>
      <c r="G10" t="s">
        <v>136</v>
      </c>
      <c r="H10" t="s">
        <v>137</v>
      </c>
      <c r="I10" t="s">
        <v>138</v>
      </c>
    </row>
    <row r="11" spans="1:15" x14ac:dyDescent="0.45">
      <c r="A11" t="s">
        <v>139</v>
      </c>
      <c r="B11" t="s">
        <v>140</v>
      </c>
      <c r="C11" t="s">
        <v>141</v>
      </c>
      <c r="D11" t="s">
        <v>142</v>
      </c>
      <c r="E11" t="s">
        <v>143</v>
      </c>
      <c r="F11" t="s">
        <v>144</v>
      </c>
      <c r="G11" t="s">
        <v>145</v>
      </c>
      <c r="H11" t="s">
        <v>146</v>
      </c>
      <c r="I11" t="s">
        <v>147</v>
      </c>
    </row>
    <row r="12" spans="1:15" x14ac:dyDescent="0.45">
      <c r="A12" t="s">
        <v>148</v>
      </c>
      <c r="B12" t="s">
        <v>149</v>
      </c>
      <c r="C12" t="s">
        <v>150</v>
      </c>
      <c r="D12" t="s">
        <v>151</v>
      </c>
      <c r="E12" t="s">
        <v>152</v>
      </c>
      <c r="F12" t="s">
        <v>153</v>
      </c>
      <c r="G12" t="s">
        <v>154</v>
      </c>
      <c r="H12" t="s">
        <v>155</v>
      </c>
      <c r="I12" t="s">
        <v>156</v>
      </c>
    </row>
    <row r="13" spans="1:15" x14ac:dyDescent="0.45">
      <c r="A13" t="s">
        <v>157</v>
      </c>
      <c r="B13" t="s">
        <v>158</v>
      </c>
      <c r="C13" t="s">
        <v>159</v>
      </c>
      <c r="D13" t="s">
        <v>160</v>
      </c>
      <c r="E13" t="s">
        <v>161</v>
      </c>
      <c r="F13" t="s">
        <v>162</v>
      </c>
      <c r="G13" t="s">
        <v>163</v>
      </c>
      <c r="H13" t="s">
        <v>164</v>
      </c>
      <c r="I13" t="s">
        <v>165</v>
      </c>
    </row>
    <row r="14" spans="1:15" x14ac:dyDescent="0.45">
      <c r="A14" t="s">
        <v>15</v>
      </c>
      <c r="B14" t="s">
        <v>16</v>
      </c>
      <c r="C14" t="s">
        <v>17</v>
      </c>
      <c r="D14" t="s">
        <v>166</v>
      </c>
      <c r="E14" t="s">
        <v>167</v>
      </c>
      <c r="F14" t="s">
        <v>168</v>
      </c>
      <c r="G14" t="s">
        <v>169</v>
      </c>
      <c r="H14" t="s">
        <v>170</v>
      </c>
      <c r="I14" t="s">
        <v>171</v>
      </c>
    </row>
    <row r="15" spans="1:15" x14ac:dyDescent="0.45">
      <c r="A15" t="s">
        <v>19</v>
      </c>
      <c r="B15" t="s">
        <v>16</v>
      </c>
      <c r="C15" t="s">
        <v>20</v>
      </c>
      <c r="D15" t="s">
        <v>172</v>
      </c>
      <c r="E15" t="s">
        <v>173</v>
      </c>
      <c r="F15" t="s">
        <v>174</v>
      </c>
      <c r="G15" t="s">
        <v>175</v>
      </c>
      <c r="H15" t="s">
        <v>176</v>
      </c>
      <c r="I15" t="s">
        <v>177</v>
      </c>
    </row>
    <row r="16" spans="1:15" x14ac:dyDescent="0.45">
      <c r="A16" t="s">
        <v>21</v>
      </c>
      <c r="B16" t="s">
        <v>18</v>
      </c>
      <c r="C16" t="s">
        <v>22</v>
      </c>
      <c r="D16" t="s">
        <v>178</v>
      </c>
      <c r="E16" t="s">
        <v>179</v>
      </c>
      <c r="F16" t="s">
        <v>180</v>
      </c>
      <c r="G16" t="s">
        <v>181</v>
      </c>
      <c r="H16" t="s">
        <v>182</v>
      </c>
      <c r="I16" t="s">
        <v>183</v>
      </c>
    </row>
    <row r="17" spans="1:13" x14ac:dyDescent="0.45">
      <c r="A17" t="s">
        <v>23</v>
      </c>
      <c r="B17" t="s">
        <v>18</v>
      </c>
      <c r="C17" t="s">
        <v>24</v>
      </c>
      <c r="D17" t="s">
        <v>184</v>
      </c>
      <c r="E17" t="s">
        <v>185</v>
      </c>
      <c r="F17" t="s">
        <v>186</v>
      </c>
      <c r="G17" t="s">
        <v>163</v>
      </c>
      <c r="H17" t="s">
        <v>187</v>
      </c>
      <c r="I17" t="s">
        <v>188</v>
      </c>
    </row>
    <row r="18" spans="1:13" x14ac:dyDescent="0.45">
      <c r="A18" t="s">
        <v>189</v>
      </c>
      <c r="B18" t="s">
        <v>18</v>
      </c>
      <c r="C18" t="s">
        <v>26</v>
      </c>
      <c r="D18" t="s">
        <v>190</v>
      </c>
      <c r="E18" t="s">
        <v>191</v>
      </c>
      <c r="F18" t="s">
        <v>192</v>
      </c>
      <c r="G18" t="s">
        <v>193</v>
      </c>
      <c r="H18" t="s">
        <v>194</v>
      </c>
      <c r="I18" t="s">
        <v>195</v>
      </c>
    </row>
    <row r="19" spans="1:13" x14ac:dyDescent="0.45">
      <c r="A19" t="s">
        <v>196</v>
      </c>
    </row>
    <row r="20" spans="1:13" x14ac:dyDescent="0.45">
      <c r="A20" t="s">
        <v>197</v>
      </c>
      <c r="B20" t="s">
        <v>18</v>
      </c>
      <c r="C20" t="s">
        <v>198</v>
      </c>
      <c r="D20" t="s">
        <v>199</v>
      </c>
      <c r="E20" t="s">
        <v>200</v>
      </c>
      <c r="F20" t="s">
        <v>201</v>
      </c>
      <c r="G20" t="s">
        <v>202</v>
      </c>
      <c r="H20" t="s">
        <v>203</v>
      </c>
      <c r="I20" t="s">
        <v>204</v>
      </c>
    </row>
    <row r="21" spans="1:13" x14ac:dyDescent="0.45">
      <c r="A21" t="s">
        <v>205</v>
      </c>
      <c r="B21" t="s">
        <v>18</v>
      </c>
      <c r="C21" t="s">
        <v>206</v>
      </c>
      <c r="D21" t="s">
        <v>207</v>
      </c>
      <c r="E21" t="s">
        <v>208</v>
      </c>
      <c r="F21" t="s">
        <v>209</v>
      </c>
      <c r="G21" t="s">
        <v>210</v>
      </c>
      <c r="H21" t="s">
        <v>211</v>
      </c>
      <c r="I21" t="s">
        <v>212</v>
      </c>
    </row>
    <row r="28" spans="1:13" x14ac:dyDescent="0.45">
      <c r="E28" s="1" t="s">
        <v>80</v>
      </c>
      <c r="F28" s="1" t="s">
        <v>81</v>
      </c>
      <c r="G28" s="1" t="s">
        <v>82</v>
      </c>
      <c r="H28" s="1" t="s">
        <v>83</v>
      </c>
      <c r="I28">
        <f>E28+F28+H28</f>
        <v>30463</v>
      </c>
      <c r="J28">
        <f>I28/8760</f>
        <v>3.4775114155251141</v>
      </c>
      <c r="K28">
        <f>G28/8760</f>
        <v>1.638013698630137</v>
      </c>
      <c r="M28">
        <f t="shared" ref="M28:M42" si="0">I4/8760</f>
        <v>5.5462328767123283</v>
      </c>
    </row>
    <row r="29" spans="1:13" x14ac:dyDescent="0.45">
      <c r="E29" s="2" t="s">
        <v>89</v>
      </c>
      <c r="F29" s="2" t="s">
        <v>90</v>
      </c>
      <c r="G29" s="2" t="s">
        <v>91</v>
      </c>
      <c r="H29" s="2" t="s">
        <v>92</v>
      </c>
      <c r="I29">
        <f t="shared" ref="I29:I42" si="1">E29+F29+H29</f>
        <v>31768</v>
      </c>
      <c r="J29">
        <f t="shared" ref="J29:J42" si="2">I29/8760</f>
        <v>3.6264840182648403</v>
      </c>
      <c r="K29">
        <f t="shared" ref="K29:K42" si="3">G29/8760</f>
        <v>1.7284246575342466</v>
      </c>
      <c r="M29">
        <f t="shared" si="0"/>
        <v>5.7787671232876709</v>
      </c>
    </row>
    <row r="30" spans="1:13" x14ac:dyDescent="0.45">
      <c r="E30" s="1" t="s">
        <v>98</v>
      </c>
      <c r="F30" s="1" t="s">
        <v>99</v>
      </c>
      <c r="G30" s="1" t="s">
        <v>100</v>
      </c>
      <c r="H30" s="1" t="s">
        <v>101</v>
      </c>
      <c r="I30">
        <f t="shared" si="1"/>
        <v>32858</v>
      </c>
      <c r="J30">
        <f t="shared" si="2"/>
        <v>3.7509132420091325</v>
      </c>
      <c r="K30">
        <f t="shared" si="3"/>
        <v>1.8471461187214613</v>
      </c>
      <c r="M30">
        <f t="shared" si="0"/>
        <v>6.0109589041095894</v>
      </c>
    </row>
    <row r="31" spans="1:13" x14ac:dyDescent="0.45">
      <c r="E31" s="2" t="s">
        <v>107</v>
      </c>
      <c r="F31" s="2" t="s">
        <v>108</v>
      </c>
      <c r="G31" s="2" t="s">
        <v>109</v>
      </c>
      <c r="H31" s="2" t="s">
        <v>110</v>
      </c>
      <c r="I31">
        <f t="shared" si="1"/>
        <v>36204</v>
      </c>
      <c r="J31">
        <f t="shared" si="2"/>
        <v>4.1328767123287671</v>
      </c>
      <c r="K31">
        <f t="shared" si="3"/>
        <v>1.9824200913242009</v>
      </c>
      <c r="M31">
        <f t="shared" si="0"/>
        <v>6.5628995433789958</v>
      </c>
    </row>
    <row r="32" spans="1:13" x14ac:dyDescent="0.45">
      <c r="E32" s="1" t="s">
        <v>116</v>
      </c>
      <c r="F32" s="1" t="s">
        <v>117</v>
      </c>
      <c r="G32" s="1" t="s">
        <v>118</v>
      </c>
      <c r="H32" s="1" t="s">
        <v>119</v>
      </c>
      <c r="I32">
        <f t="shared" si="1"/>
        <v>38669</v>
      </c>
      <c r="J32">
        <f t="shared" si="2"/>
        <v>4.4142694063926937</v>
      </c>
      <c r="K32">
        <f t="shared" si="3"/>
        <v>2.1222602739726026</v>
      </c>
      <c r="M32">
        <f t="shared" si="0"/>
        <v>7.0007990867579908</v>
      </c>
    </row>
    <row r="33" spans="5:13" x14ac:dyDescent="0.45">
      <c r="E33" s="2" t="s">
        <v>124</v>
      </c>
      <c r="F33" s="2" t="s">
        <v>125</v>
      </c>
      <c r="G33" s="2" t="s">
        <v>126</v>
      </c>
      <c r="H33" s="2" t="s">
        <v>127</v>
      </c>
      <c r="I33">
        <f t="shared" si="1"/>
        <v>43399</v>
      </c>
      <c r="J33">
        <f t="shared" si="2"/>
        <v>4.9542237442922374</v>
      </c>
      <c r="K33">
        <f t="shared" si="3"/>
        <v>2.2606164383561644</v>
      </c>
      <c r="M33">
        <f t="shared" si="0"/>
        <v>7.7172374429223742</v>
      </c>
    </row>
    <row r="34" spans="5:13" x14ac:dyDescent="0.45">
      <c r="E34" s="1" t="s">
        <v>132</v>
      </c>
      <c r="F34" s="1" t="s">
        <v>133</v>
      </c>
      <c r="G34" s="1" t="s">
        <v>134</v>
      </c>
      <c r="H34" s="1" t="s">
        <v>135</v>
      </c>
      <c r="I34">
        <f t="shared" si="1"/>
        <v>46874</v>
      </c>
      <c r="J34">
        <f t="shared" si="2"/>
        <v>5.3509132420091321</v>
      </c>
      <c r="K34">
        <f t="shared" si="3"/>
        <v>2.4047945205479451</v>
      </c>
      <c r="M34">
        <f t="shared" si="0"/>
        <v>8.3004566210045656</v>
      </c>
    </row>
    <row r="35" spans="5:13" x14ac:dyDescent="0.45">
      <c r="E35" s="2" t="s">
        <v>141</v>
      </c>
      <c r="F35" s="2" t="s">
        <v>142</v>
      </c>
      <c r="G35" s="2" t="s">
        <v>143</v>
      </c>
      <c r="H35" s="2" t="s">
        <v>144</v>
      </c>
      <c r="I35">
        <f t="shared" si="1"/>
        <v>47748</v>
      </c>
      <c r="J35">
        <f t="shared" si="2"/>
        <v>5.4506849315068493</v>
      </c>
      <c r="K35">
        <f t="shared" si="3"/>
        <v>2.3663242009132421</v>
      </c>
      <c r="M35">
        <f t="shared" si="0"/>
        <v>8.3789954337899548</v>
      </c>
    </row>
    <row r="36" spans="5:13" x14ac:dyDescent="0.45">
      <c r="E36" s="1" t="s">
        <v>150</v>
      </c>
      <c r="F36" s="1" t="s">
        <v>151</v>
      </c>
      <c r="G36" s="1" t="s">
        <v>152</v>
      </c>
      <c r="H36" s="1" t="s">
        <v>153</v>
      </c>
      <c r="I36">
        <f t="shared" si="1"/>
        <v>46329</v>
      </c>
      <c r="J36">
        <f t="shared" si="2"/>
        <v>5.2886986301369863</v>
      </c>
      <c r="K36">
        <f t="shared" si="3"/>
        <v>2.2066210045662102</v>
      </c>
      <c r="M36">
        <f t="shared" si="0"/>
        <v>8.0332191780821915</v>
      </c>
    </row>
    <row r="37" spans="5:13" x14ac:dyDescent="0.45">
      <c r="E37" s="2" t="s">
        <v>159</v>
      </c>
      <c r="F37" s="2" t="s">
        <v>160</v>
      </c>
      <c r="G37" s="2" t="s">
        <v>161</v>
      </c>
      <c r="H37" s="2" t="s">
        <v>162</v>
      </c>
      <c r="I37">
        <f t="shared" si="1"/>
        <v>49566</v>
      </c>
      <c r="J37">
        <f t="shared" si="2"/>
        <v>5.6582191780821915</v>
      </c>
      <c r="K37">
        <f t="shared" si="3"/>
        <v>2.2628995433789956</v>
      </c>
      <c r="M37">
        <f t="shared" si="0"/>
        <v>8.4872146118721457</v>
      </c>
    </row>
    <row r="38" spans="5:13" x14ac:dyDescent="0.45">
      <c r="E38" s="1" t="s">
        <v>17</v>
      </c>
      <c r="F38" s="1" t="s">
        <v>166</v>
      </c>
      <c r="G38" s="1" t="s">
        <v>167</v>
      </c>
      <c r="H38" s="1" t="s">
        <v>168</v>
      </c>
      <c r="I38">
        <f t="shared" si="1"/>
        <v>50638</v>
      </c>
      <c r="J38">
        <f t="shared" si="2"/>
        <v>5.7805936073059359</v>
      </c>
      <c r="K38">
        <f t="shared" si="3"/>
        <v>2.4208904109589042</v>
      </c>
      <c r="M38">
        <f t="shared" si="0"/>
        <v>8.8012557077625573</v>
      </c>
    </row>
    <row r="39" spans="5:13" x14ac:dyDescent="0.45">
      <c r="E39" s="2" t="s">
        <v>20</v>
      </c>
      <c r="F39" s="2" t="s">
        <v>172</v>
      </c>
      <c r="G39" s="2" t="s">
        <v>173</v>
      </c>
      <c r="H39" s="2" t="s">
        <v>174</v>
      </c>
      <c r="I39">
        <f t="shared" si="1"/>
        <v>49891</v>
      </c>
      <c r="J39">
        <f t="shared" si="2"/>
        <v>5.6953196347031962</v>
      </c>
      <c r="K39">
        <f t="shared" si="3"/>
        <v>2.4886986301369864</v>
      </c>
      <c r="M39">
        <f t="shared" si="0"/>
        <v>8.7626712328767127</v>
      </c>
    </row>
    <row r="40" spans="5:13" x14ac:dyDescent="0.45">
      <c r="E40" s="1" t="s">
        <v>22</v>
      </c>
      <c r="F40" s="1" t="s">
        <v>178</v>
      </c>
      <c r="G40" s="1" t="s">
        <v>179</v>
      </c>
      <c r="H40" s="1" t="s">
        <v>180</v>
      </c>
      <c r="I40">
        <f t="shared" si="1"/>
        <v>49820</v>
      </c>
      <c r="J40">
        <f t="shared" si="2"/>
        <v>5.6872146118721458</v>
      </c>
      <c r="K40">
        <f t="shared" si="3"/>
        <v>2.5471461187214612</v>
      </c>
      <c r="M40">
        <f t="shared" si="0"/>
        <v>8.7658675799086758</v>
      </c>
    </row>
    <row r="41" spans="5:13" x14ac:dyDescent="0.45">
      <c r="E41" s="2" t="s">
        <v>24</v>
      </c>
      <c r="F41" s="2" t="s">
        <v>184</v>
      </c>
      <c r="G41" s="2" t="s">
        <v>185</v>
      </c>
      <c r="H41" s="2" t="s">
        <v>186</v>
      </c>
      <c r="I41">
        <f t="shared" si="1"/>
        <v>54214</v>
      </c>
      <c r="J41">
        <f t="shared" si="2"/>
        <v>6.1888127853881283</v>
      </c>
      <c r="K41">
        <f t="shared" si="3"/>
        <v>2.780365296803653</v>
      </c>
      <c r="M41">
        <f t="shared" si="0"/>
        <v>9.5215753424657539</v>
      </c>
    </row>
    <row r="42" spans="5:13" x14ac:dyDescent="0.45">
      <c r="E42" s="1" t="s">
        <v>26</v>
      </c>
      <c r="F42" s="1" t="s">
        <v>190</v>
      </c>
      <c r="G42" s="1" t="s">
        <v>191</v>
      </c>
      <c r="H42" s="1" t="s">
        <v>192</v>
      </c>
      <c r="I42">
        <f t="shared" si="1"/>
        <v>55995</v>
      </c>
      <c r="J42">
        <f t="shared" si="2"/>
        <v>6.3921232876712333</v>
      </c>
      <c r="K42">
        <f t="shared" si="3"/>
        <v>2.85148401826484</v>
      </c>
      <c r="M42">
        <f t="shared" si="0"/>
        <v>9.7965753424657542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D6F0B4-A3CB-4F42-B291-5D489E41A4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Table057 (Page 16)</vt:lpstr>
      <vt:lpstr>Table075 (Page 19)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 Yaseen</dc:creator>
  <cp:lastModifiedBy>Arfa Yaseen</cp:lastModifiedBy>
  <dcterms:created xsi:type="dcterms:W3CDTF">2025-07-22T14:40:12Z</dcterms:created>
  <dcterms:modified xsi:type="dcterms:W3CDTF">2025-08-03T13:24:42Z</dcterms:modified>
</cp:coreProperties>
</file>