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1DF92B79-576F-435F-9AE0-A0A7F88C2307}" xr6:coauthVersionLast="47" xr6:coauthVersionMax="47" xr10:uidLastSave="{00000000-0000-0000-0000-000000000000}"/>
  <bookViews>
    <workbookView xWindow="6900" yWindow="-16320" windowWidth="29040" windowHeight="15720" xr2:uid="{BBF0A3B5-8119-7E4F-ABD5-A24F05366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D9" i="1" l="1"/>
  <c r="B9" i="1"/>
  <c r="C11" i="1"/>
  <c r="C10" i="1"/>
  <c r="D10" i="1"/>
  <c r="G15" i="1"/>
  <c r="G16" i="1"/>
  <c r="B10" i="1"/>
  <c r="C4" i="1"/>
  <c r="C5" i="1" s="1"/>
  <c r="D4" i="1"/>
  <c r="D5" i="1" s="1"/>
  <c r="E4" i="1"/>
  <c r="E5" i="1" s="1"/>
  <c r="F4" i="1"/>
  <c r="F5" i="1" s="1"/>
  <c r="G4" i="1"/>
  <c r="G5" i="1" s="1"/>
  <c r="H4" i="1"/>
  <c r="H5" i="1" s="1"/>
  <c r="I4" i="1"/>
  <c r="I5" i="1" s="1"/>
  <c r="J4" i="1"/>
  <c r="J5" i="1" s="1"/>
  <c r="K4" i="1"/>
  <c r="K5" i="1" s="1"/>
  <c r="L4" i="1"/>
  <c r="B4" i="1"/>
  <c r="C9" i="1" s="1"/>
  <c r="D11" i="1" l="1"/>
  <c r="B5" i="1"/>
  <c r="L5" i="1"/>
</calcChain>
</file>

<file path=xl/sharedStrings.xml><?xml version="1.0" encoding="utf-8"?>
<sst xmlns="http://schemas.openxmlformats.org/spreadsheetml/2006/main" count="15" uniqueCount="13">
  <si>
    <t>CAP</t>
  </si>
  <si>
    <t>ACT</t>
  </si>
  <si>
    <t>CAP(GW)</t>
  </si>
  <si>
    <t>ACT(TWh)</t>
  </si>
  <si>
    <t>ACT(Gwa)</t>
  </si>
  <si>
    <t>CF</t>
  </si>
  <si>
    <t>Hist_2010</t>
  </si>
  <si>
    <t>Hist_2015</t>
  </si>
  <si>
    <t>Hist_2020</t>
  </si>
  <si>
    <t>Hist_2025</t>
  </si>
  <si>
    <t>bouund_total_capacity_up</t>
  </si>
  <si>
    <t>bound_total_capacity_lo</t>
  </si>
  <si>
    <t>solar_pv_ppl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</si>
</sst>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2D4B-BEA5-1E4A-BFC5-BD27389C4B75}">
  <dimension ref="A1:L16"/>
  <sheetViews>
    <sheetView tabSelected="1" zoomScale="143" zoomScaleNormal="220" workbookViewId="0">
      <selection activeCell="L10" sqref="L10"/>
    </sheetView>
  </sheetViews>
  <sheetFormatPr defaultColWidth="11" defaultRowHeight="15.75" x14ac:dyDescent="0.5"/>
  <cols>
    <col min="2" max="2" width="12.1875" bestFit="1" customWidth="1"/>
    <col min="3" max="3" width="7.6875" bestFit="1" customWidth="1"/>
  </cols>
  <sheetData>
    <row r="1" spans="1:12" x14ac:dyDescent="0.5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</row>
    <row r="2" spans="1:12" x14ac:dyDescent="0.5">
      <c r="A2" t="s">
        <v>2</v>
      </c>
      <c r="B2">
        <v>0.3</v>
      </c>
      <c r="C2">
        <v>0.69199999999999995</v>
      </c>
      <c r="D2">
        <v>0.77</v>
      </c>
      <c r="E2">
        <v>0.78</v>
      </c>
      <c r="F2">
        <v>0.83</v>
      </c>
      <c r="G2">
        <v>1</v>
      </c>
      <c r="H2">
        <v>1.72</v>
      </c>
      <c r="I2">
        <v>2.57</v>
      </c>
      <c r="J2">
        <v>2.6</v>
      </c>
      <c r="K2">
        <v>3.96</v>
      </c>
      <c r="L2">
        <v>5.5</v>
      </c>
    </row>
    <row r="3" spans="1:12" x14ac:dyDescent="0.5">
      <c r="A3" t="s">
        <v>3</v>
      </c>
      <c r="B3">
        <v>0.20699999999999999</v>
      </c>
      <c r="C3">
        <v>0.63</v>
      </c>
      <c r="D3">
        <v>0.76800000000000002</v>
      </c>
      <c r="E3">
        <v>0.629</v>
      </c>
      <c r="F3">
        <v>0.70499999999999996</v>
      </c>
      <c r="G3">
        <v>0.71199999999999997</v>
      </c>
      <c r="H3">
        <v>0.78500000000000003</v>
      </c>
      <c r="I3">
        <v>0.90700000000000003</v>
      </c>
      <c r="J3">
        <v>2.3460000000000001</v>
      </c>
      <c r="K3">
        <v>3</v>
      </c>
      <c r="L3">
        <v>4.3600000000000003</v>
      </c>
    </row>
    <row r="4" spans="1:12" x14ac:dyDescent="0.5">
      <c r="A4" t="s">
        <v>4</v>
      </c>
      <c r="B4">
        <f>ROUNDUP((B3*1000)/8760,3)</f>
        <v>2.4E-2</v>
      </c>
      <c r="C4">
        <f t="shared" ref="C4:L4" si="0">ROUNDUP((C3*1000)/8760,3)</f>
        <v>7.1999999999999995E-2</v>
      </c>
      <c r="D4">
        <f t="shared" si="0"/>
        <v>8.7999999999999995E-2</v>
      </c>
      <c r="E4">
        <f t="shared" si="0"/>
        <v>7.1999999999999995E-2</v>
      </c>
      <c r="F4">
        <f t="shared" si="0"/>
        <v>8.1000000000000003E-2</v>
      </c>
      <c r="G4">
        <f t="shared" si="0"/>
        <v>8.2000000000000003E-2</v>
      </c>
      <c r="H4">
        <f t="shared" si="0"/>
        <v>0.09</v>
      </c>
      <c r="I4">
        <f t="shared" si="0"/>
        <v>0.104</v>
      </c>
      <c r="J4">
        <f t="shared" si="0"/>
        <v>0.26800000000000002</v>
      </c>
      <c r="K4">
        <f t="shared" si="0"/>
        <v>0.34300000000000003</v>
      </c>
      <c r="L4">
        <f t="shared" si="0"/>
        <v>0.498</v>
      </c>
    </row>
    <row r="5" spans="1:12" x14ac:dyDescent="0.5">
      <c r="A5" t="s">
        <v>5</v>
      </c>
      <c r="B5">
        <f>ROUNDUP(B4/B2,3)</f>
        <v>0.08</v>
      </c>
      <c r="C5">
        <f t="shared" ref="C5:L5" si="1">ROUNDUP(C4/C2,3)</f>
        <v>0.105</v>
      </c>
      <c r="D5">
        <f t="shared" si="1"/>
        <v>0.115</v>
      </c>
      <c r="E5">
        <f t="shared" si="1"/>
        <v>9.2999999999999999E-2</v>
      </c>
      <c r="F5">
        <f t="shared" si="1"/>
        <v>9.8000000000000004E-2</v>
      </c>
      <c r="G5">
        <f t="shared" si="1"/>
        <v>8.2000000000000003E-2</v>
      </c>
      <c r="H5">
        <f t="shared" si="1"/>
        <v>5.2999999999999999E-2</v>
      </c>
      <c r="I5">
        <f t="shared" si="1"/>
        <v>4.1000000000000002E-2</v>
      </c>
      <c r="J5">
        <f t="shared" si="1"/>
        <v>0.104</v>
      </c>
      <c r="K5">
        <f t="shared" si="1"/>
        <v>8.6999999999999994E-2</v>
      </c>
      <c r="L5">
        <f t="shared" si="1"/>
        <v>9.0999999999999998E-2</v>
      </c>
    </row>
    <row r="7" spans="1:12" x14ac:dyDescent="0.5">
      <c r="B7" t="s">
        <v>0</v>
      </c>
      <c r="C7" t="s">
        <v>1</v>
      </c>
      <c r="D7" t="s">
        <v>5</v>
      </c>
    </row>
    <row r="8" spans="1:12" s="3" customFormat="1" x14ac:dyDescent="0.5">
      <c r="A8" s="3" t="s">
        <v>6</v>
      </c>
      <c r="B8" s="3">
        <v>0</v>
      </c>
      <c r="C8" s="3">
        <v>0</v>
      </c>
      <c r="D8" s="3">
        <v>0</v>
      </c>
    </row>
    <row r="9" spans="1:12" s="1" customFormat="1" x14ac:dyDescent="0.5">
      <c r="A9" s="1" t="s">
        <v>7</v>
      </c>
      <c r="B9" s="1">
        <f>B2/5</f>
        <v>0.06</v>
      </c>
      <c r="C9" s="1">
        <f>B4</f>
        <v>2.4E-2</v>
      </c>
      <c r="D9" s="1">
        <f>ROUNDUP(C9/(B9*5),3)</f>
        <v>0.08</v>
      </c>
    </row>
    <row r="10" spans="1:12" s="1" customFormat="1" x14ac:dyDescent="0.5">
      <c r="A10" s="1" t="s">
        <v>8</v>
      </c>
      <c r="B10" s="1">
        <f>(G2-B2)/5</f>
        <v>0.13999999999999999</v>
      </c>
      <c r="C10" s="1">
        <f>G4-B4</f>
        <v>5.8000000000000003E-2</v>
      </c>
      <c r="D10" s="1">
        <f>ROUNDUP(C10/(B10*5),3)</f>
        <v>8.3000000000000004E-2</v>
      </c>
    </row>
    <row r="11" spans="1:12" s="2" customFormat="1" x14ac:dyDescent="0.5">
      <c r="A11" s="2" t="s">
        <v>9</v>
      </c>
      <c r="B11" s="2">
        <f>(L2-G2)/5</f>
        <v>0.9</v>
      </c>
      <c r="C11" s="2">
        <f>L4-G4</f>
        <v>0.41599999999999998</v>
      </c>
      <c r="D11" s="2">
        <f>ROUNDUP(C11/(B11*5),3)</f>
        <v>9.2999999999999999E-2</v>
      </c>
    </row>
    <row r="14" spans="1:12" x14ac:dyDescent="0.5">
      <c r="G14">
        <v>2025</v>
      </c>
    </row>
    <row r="15" spans="1:12" x14ac:dyDescent="0.5">
      <c r="E15" t="s">
        <v>10</v>
      </c>
      <c r="G15">
        <f>G16*1.005</f>
        <v>5.5274999999999999</v>
      </c>
      <c r="H15" t="s">
        <v>12</v>
      </c>
    </row>
    <row r="16" spans="1:12" x14ac:dyDescent="0.5">
      <c r="E16" t="s">
        <v>11</v>
      </c>
      <c r="G16">
        <f>L2</f>
        <v>5.5</v>
      </c>
      <c r="H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 Siddharth</dc:creator>
  <cp:lastModifiedBy>Arfa Yaseen</cp:lastModifiedBy>
  <dcterms:created xsi:type="dcterms:W3CDTF">2025-07-22T18:26:08Z</dcterms:created>
  <dcterms:modified xsi:type="dcterms:W3CDTF">2025-09-16T07:31:05Z</dcterms:modified>
</cp:coreProperties>
</file>