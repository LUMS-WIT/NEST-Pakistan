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D32BF9AB-4147-45C0-B89A-615D22ED6BAD}" xr6:coauthVersionLast="47" xr6:coauthVersionMax="47" xr10:uidLastSave="{00000000-0000-0000-0000-000000000000}"/>
  <bookViews>
    <workbookView xWindow="-98" yWindow="-98" windowWidth="21795" windowHeight="13695" activeTab="2" xr2:uid="{9BB90A47-7841-4104-BCB6-E142673D3E25}"/>
  </bookViews>
  <sheets>
    <sheet name="new_capacity" sheetId="1" r:id="rId1"/>
    <sheet name="cumulative_capacity" sheetId="3" r:id="rId2"/>
    <sheet name="activity" sheetId="2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</calcChain>
</file>

<file path=xl/sharedStrings.xml><?xml version="1.0" encoding="utf-8"?>
<sst xmlns="http://schemas.openxmlformats.org/spreadsheetml/2006/main" count="84" uniqueCount="15">
  <si>
    <t>node_loc</t>
  </si>
  <si>
    <t>technology</t>
  </si>
  <si>
    <t>year_vtg</t>
  </si>
  <si>
    <t>value_dist</t>
  </si>
  <si>
    <t>value_util</t>
  </si>
  <si>
    <t>unit</t>
  </si>
  <si>
    <t>R12_PAK</t>
  </si>
  <si>
    <t>solar_res_hist_2020</t>
  </si>
  <si>
    <t>GW</t>
  </si>
  <si>
    <t>solar_res_hist_2025</t>
  </si>
  <si>
    <t>year_act</t>
  </si>
  <si>
    <t>value</t>
  </si>
  <si>
    <t>GWa</t>
  </si>
  <si>
    <t>value (TWh)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</si>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</sst>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30E8-4CA1-43CE-A541-34AB26378291}">
  <dimension ref="A1:F8"/>
  <sheetViews>
    <sheetView workbookViewId="0">
      <selection activeCell="H13" sqref="H13"/>
    </sheetView>
  </sheetViews>
  <sheetFormatPr defaultRowHeight="14.25" x14ac:dyDescent="0.45"/>
  <cols>
    <col min="2" max="2" width="16.3984375" bestFit="1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>
        <v>2016</v>
      </c>
      <c r="D2">
        <v>0</v>
      </c>
      <c r="E2">
        <v>0.39028099999999999</v>
      </c>
      <c r="F2" t="s">
        <v>8</v>
      </c>
    </row>
    <row r="3" spans="1:6" x14ac:dyDescent="0.45">
      <c r="A3" t="s">
        <v>6</v>
      </c>
      <c r="B3" t="s">
        <v>7</v>
      </c>
      <c r="C3">
        <v>2017</v>
      </c>
      <c r="D3">
        <v>1.8751E-2</v>
      </c>
      <c r="E3">
        <v>5.7646999999999997E-2</v>
      </c>
      <c r="F3" t="s">
        <v>8</v>
      </c>
    </row>
    <row r="4" spans="1:6" x14ac:dyDescent="0.45">
      <c r="A4" t="s">
        <v>6</v>
      </c>
      <c r="B4" t="s">
        <v>7</v>
      </c>
      <c r="C4">
        <v>2018</v>
      </c>
      <c r="D4">
        <v>0</v>
      </c>
      <c r="E4">
        <v>3.1974000000000002E-2</v>
      </c>
      <c r="F4" t="s">
        <v>8</v>
      </c>
    </row>
    <row r="5" spans="1:6" x14ac:dyDescent="0.45">
      <c r="A5" t="s">
        <v>6</v>
      </c>
      <c r="B5" t="s">
        <v>7</v>
      </c>
      <c r="C5">
        <v>2019</v>
      </c>
      <c r="D5">
        <v>3.9594999999999998E-2</v>
      </c>
      <c r="E5">
        <v>4.6746000000000003E-2</v>
      </c>
      <c r="F5" t="s">
        <v>8</v>
      </c>
    </row>
    <row r="6" spans="1:6" x14ac:dyDescent="0.45">
      <c r="A6" t="s">
        <v>6</v>
      </c>
      <c r="B6" t="s">
        <v>7</v>
      </c>
      <c r="C6">
        <v>2020</v>
      </c>
      <c r="D6">
        <v>5.3509000000000001E-2</v>
      </c>
      <c r="E6">
        <v>5.8785999999999998E-2</v>
      </c>
      <c r="F6" t="s">
        <v>8</v>
      </c>
    </row>
    <row r="7" spans="1:6" x14ac:dyDescent="0.45">
      <c r="A7" t="s">
        <v>6</v>
      </c>
      <c r="B7" t="s">
        <v>9</v>
      </c>
      <c r="C7">
        <v>2021</v>
      </c>
      <c r="D7">
        <v>0.27931499999999998</v>
      </c>
      <c r="E7">
        <v>0.435</v>
      </c>
      <c r="F7" t="s">
        <v>8</v>
      </c>
    </row>
    <row r="8" spans="1:6" x14ac:dyDescent="0.45">
      <c r="A8" t="s">
        <v>6</v>
      </c>
      <c r="B8" t="s">
        <v>9</v>
      </c>
      <c r="C8">
        <v>2022</v>
      </c>
      <c r="D8">
        <v>0.235814</v>
      </c>
      <c r="E8">
        <v>0.625</v>
      </c>
      <c r="F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D6C3-275D-4015-8C6D-3B29E1BCC964}">
  <dimension ref="A1:F8"/>
  <sheetViews>
    <sheetView workbookViewId="0">
      <selection activeCell="I15" sqref="I15"/>
    </sheetView>
  </sheetViews>
  <sheetFormatPr defaultRowHeight="14.25" x14ac:dyDescent="0.45"/>
  <cols>
    <col min="2" max="2" width="16.3984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11</v>
      </c>
      <c r="F1" s="1" t="s">
        <v>5</v>
      </c>
    </row>
    <row r="2" spans="1:6" x14ac:dyDescent="0.45">
      <c r="A2" t="s">
        <v>6</v>
      </c>
      <c r="B2" t="s">
        <v>7</v>
      </c>
      <c r="C2">
        <v>2016</v>
      </c>
      <c r="D2">
        <v>0.69256099999999998</v>
      </c>
      <c r="F2" t="s">
        <v>8</v>
      </c>
    </row>
    <row r="3" spans="1:6" x14ac:dyDescent="0.45">
      <c r="A3" t="s">
        <v>6</v>
      </c>
      <c r="B3" t="s">
        <v>7</v>
      </c>
      <c r="C3">
        <v>2017</v>
      </c>
      <c r="D3">
        <v>0.76895899999999995</v>
      </c>
      <c r="F3" t="s">
        <v>8</v>
      </c>
    </row>
    <row r="4" spans="1:6" x14ac:dyDescent="0.45">
      <c r="A4" t="s">
        <v>6</v>
      </c>
      <c r="B4" t="s">
        <v>7</v>
      </c>
      <c r="C4">
        <v>2018</v>
      </c>
      <c r="D4">
        <v>0.8009329999999999</v>
      </c>
      <c r="F4" t="s">
        <v>8</v>
      </c>
    </row>
    <row r="5" spans="1:6" x14ac:dyDescent="0.45">
      <c r="A5" t="s">
        <v>6</v>
      </c>
      <c r="B5" t="s">
        <v>7</v>
      </c>
      <c r="C5">
        <v>2019</v>
      </c>
      <c r="D5">
        <v>0.8872739999999999</v>
      </c>
      <c r="F5" t="s">
        <v>8</v>
      </c>
    </row>
    <row r="6" spans="1:6" x14ac:dyDescent="0.45">
      <c r="A6" t="s">
        <v>6</v>
      </c>
      <c r="B6" t="s">
        <v>7</v>
      </c>
      <c r="C6">
        <v>2020</v>
      </c>
      <c r="D6">
        <v>0.99956899999999993</v>
      </c>
      <c r="F6" t="s">
        <v>8</v>
      </c>
    </row>
    <row r="7" spans="1:6" x14ac:dyDescent="0.45">
      <c r="A7" t="s">
        <v>6</v>
      </c>
      <c r="B7" t="s">
        <v>9</v>
      </c>
      <c r="C7">
        <v>2021</v>
      </c>
      <c r="D7">
        <v>1.713884</v>
      </c>
      <c r="F7" t="s">
        <v>8</v>
      </c>
    </row>
    <row r="8" spans="1:6" x14ac:dyDescent="0.45">
      <c r="A8" t="s">
        <v>6</v>
      </c>
      <c r="B8" t="s">
        <v>9</v>
      </c>
      <c r="C8">
        <v>2022</v>
      </c>
      <c r="D8">
        <v>2.5746979999999997</v>
      </c>
      <c r="F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8940-FD87-459A-9466-E8D8A90EF910}">
  <dimension ref="A1:F9"/>
  <sheetViews>
    <sheetView tabSelected="1" workbookViewId="0">
      <selection activeCell="J4" sqref="J4"/>
    </sheetView>
  </sheetViews>
  <sheetFormatPr defaultRowHeight="14.25" x14ac:dyDescent="0.45"/>
  <cols>
    <col min="2" max="2" width="16.3984375" bestFit="1" customWidth="1"/>
  </cols>
  <sheetData>
    <row r="1" spans="1:6" x14ac:dyDescent="0.45">
      <c r="A1" s="1" t="s">
        <v>0</v>
      </c>
      <c r="B1" s="1" t="s">
        <v>1</v>
      </c>
      <c r="C1" s="1" t="s">
        <v>10</v>
      </c>
      <c r="D1" s="2" t="s">
        <v>11</v>
      </c>
      <c r="E1" s="1" t="s">
        <v>5</v>
      </c>
      <c r="F1" s="1" t="s">
        <v>13</v>
      </c>
    </row>
    <row r="2" spans="1:6" x14ac:dyDescent="0.45">
      <c r="A2" t="s">
        <v>6</v>
      </c>
      <c r="B2" t="s">
        <v>7</v>
      </c>
      <c r="C2">
        <v>2016</v>
      </c>
      <c r="D2" s="3">
        <v>7.1917808219178078E-2</v>
      </c>
      <c r="E2" t="s">
        <v>12</v>
      </c>
      <c r="F2">
        <v>0.63</v>
      </c>
    </row>
    <row r="3" spans="1:6" x14ac:dyDescent="0.45">
      <c r="A3" t="s">
        <v>6</v>
      </c>
      <c r="B3" t="s">
        <v>7</v>
      </c>
      <c r="C3">
        <v>2017</v>
      </c>
      <c r="D3" s="3">
        <v>8.7671232876712329E-2</v>
      </c>
      <c r="E3" t="s">
        <v>12</v>
      </c>
      <c r="F3">
        <v>0.76800000000000002</v>
      </c>
    </row>
    <row r="4" spans="1:6" x14ac:dyDescent="0.45">
      <c r="A4" t="s">
        <v>6</v>
      </c>
      <c r="B4" t="s">
        <v>7</v>
      </c>
      <c r="C4">
        <v>2018</v>
      </c>
      <c r="D4" s="3">
        <v>7.1803652968036535E-2</v>
      </c>
      <c r="E4" t="s">
        <v>12</v>
      </c>
      <c r="F4">
        <v>0.629</v>
      </c>
    </row>
    <row r="5" spans="1:6" x14ac:dyDescent="0.45">
      <c r="A5" t="s">
        <v>6</v>
      </c>
      <c r="B5" t="s">
        <v>7</v>
      </c>
      <c r="C5">
        <v>2019</v>
      </c>
      <c r="D5" s="3">
        <v>8.0479452054794523E-2</v>
      </c>
      <c r="E5" t="s">
        <v>12</v>
      </c>
      <c r="F5">
        <v>0.70499999999999996</v>
      </c>
    </row>
    <row r="6" spans="1:6" x14ac:dyDescent="0.45">
      <c r="A6" t="s">
        <v>6</v>
      </c>
      <c r="B6" t="s">
        <v>7</v>
      </c>
      <c r="C6">
        <v>2020</v>
      </c>
      <c r="D6" s="3">
        <v>8.1278538812785392E-2</v>
      </c>
      <c r="E6" t="s">
        <v>12</v>
      </c>
      <c r="F6">
        <v>0.71199999999999997</v>
      </c>
    </row>
    <row r="7" spans="1:6" x14ac:dyDescent="0.45">
      <c r="A7" t="s">
        <v>6</v>
      </c>
      <c r="B7" t="s">
        <v>9</v>
      </c>
      <c r="C7">
        <v>2021</v>
      </c>
      <c r="D7" s="3">
        <v>8.9611872146118723E-2</v>
      </c>
      <c r="E7" t="s">
        <v>12</v>
      </c>
      <c r="F7">
        <v>0.78500000000000003</v>
      </c>
    </row>
    <row r="8" spans="1:6" x14ac:dyDescent="0.45">
      <c r="A8" t="s">
        <v>6</v>
      </c>
      <c r="B8" t="s">
        <v>9</v>
      </c>
      <c r="C8">
        <v>2022</v>
      </c>
      <c r="D8" s="3">
        <v>0.10363344748858447</v>
      </c>
      <c r="E8" t="s">
        <v>12</v>
      </c>
      <c r="F8">
        <v>0.907829</v>
      </c>
    </row>
    <row r="9" spans="1:6" x14ac:dyDescent="0.45">
      <c r="A9" t="s">
        <v>6</v>
      </c>
      <c r="B9" t="s">
        <v>9</v>
      </c>
      <c r="C9">
        <v>2023</v>
      </c>
      <c r="D9" s="3">
        <v>0.26780821917808217</v>
      </c>
      <c r="E9" t="s">
        <v>12</v>
      </c>
      <c r="F9">
        <v>2.3460000000000001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4029-F75A-4847-9942-6C6DE5695ED8}">
  <dimension ref="B2:D3"/>
  <sheetViews>
    <sheetView workbookViewId="0">
      <selection activeCell="C3" sqref="C3"/>
    </sheetView>
  </sheetViews>
  <sheetFormatPr defaultRowHeight="14.25" x14ac:dyDescent="0.45"/>
  <sheetData>
    <row r="2" spans="2:4" x14ac:dyDescent="0.45">
      <c r="C2">
        <v>2025</v>
      </c>
      <c r="D2">
        <v>2020</v>
      </c>
    </row>
    <row r="3" spans="2:4" x14ac:dyDescent="0.45">
      <c r="B3" t="s">
        <v>14</v>
      </c>
      <c r="C3">
        <f>0.3899089/3.9647585368298</f>
        <v>9.834366869458061E-2</v>
      </c>
      <c r="D3">
        <f>activity!D6/0.697289</f>
        <v>0.11656363260109565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new_capacity</vt:lpstr>
      <vt:lpstr>cumulative_capacity</vt:lpstr>
      <vt:lpstr>activity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2025-06-26T07:56:03Z</dcterms:created>
  <dcterms:modified xsi:type="dcterms:W3CDTF">2025-06-27T10:12:33Z</dcterms:modified>
</cp:coreProperties>
</file>