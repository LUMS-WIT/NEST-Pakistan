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612D9F4A-E165-4213-AA8E-1FCBFD1C6834}" xr6:coauthVersionLast="47" xr6:coauthVersionMax="47" xr10:uidLastSave="{00000000-0000-0000-0000-000000000000}"/>
  <bookViews>
    <workbookView xWindow="-98" yWindow="-98" windowWidth="21795" windowHeight="13695" xr2:uid="{D5888633-1E9E-4106-AB71-EBCE594424F8}"/>
  </bookViews>
  <sheets>
    <sheet name="Model" sheetId="2" r:id="rId1"/>
    <sheet name="Solar" sheetId="4" r:id="rId2"/>
    <sheet name="Wind" sheetId="3" r:id="rId3"/>
    <sheet name="Solar+Tota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2" i="2"/>
  <c r="H11" i="2"/>
  <c r="H3" i="2"/>
  <c r="H4" i="2"/>
  <c r="H5" i="2"/>
  <c r="H6" i="2"/>
  <c r="H7" i="2"/>
  <c r="H8" i="2"/>
  <c r="H9" i="2"/>
  <c r="H10" i="2"/>
  <c r="H12" i="2"/>
  <c r="H13" i="2"/>
  <c r="H14" i="2"/>
  <c r="H15" i="2"/>
  <c r="H2" i="2"/>
  <c r="G15" i="2"/>
  <c r="D10" i="4"/>
  <c r="C10" i="4"/>
  <c r="B10" i="4"/>
  <c r="C9" i="4"/>
  <c r="B9" i="4"/>
  <c r="K5" i="4" l="1"/>
  <c r="B5" i="4"/>
  <c r="C3" i="4"/>
  <c r="D3" i="4"/>
  <c r="E3" i="4"/>
  <c r="F3" i="4"/>
  <c r="G3" i="4"/>
  <c r="H3" i="4"/>
  <c r="I3" i="4"/>
  <c r="J3" i="4"/>
  <c r="K3" i="4"/>
  <c r="J5" i="4"/>
  <c r="I5" i="4"/>
  <c r="H5" i="4"/>
  <c r="G5" i="4"/>
  <c r="F5" i="4"/>
  <c r="E5" i="4"/>
  <c r="E6" i="4" s="1"/>
  <c r="D5" i="4"/>
  <c r="C5" i="4"/>
  <c r="C6" i="4" s="1"/>
  <c r="B3" i="4"/>
  <c r="D12" i="3"/>
  <c r="C12" i="3"/>
  <c r="P5" i="3"/>
  <c r="C11" i="3"/>
  <c r="C10" i="3"/>
  <c r="B12" i="3"/>
  <c r="B10" i="3"/>
  <c r="B11" i="3"/>
  <c r="C6" i="3"/>
  <c r="D6" i="3"/>
  <c r="E6" i="3"/>
  <c r="K6" i="3"/>
  <c r="K5" i="3"/>
  <c r="F6" i="3"/>
  <c r="O5" i="3"/>
  <c r="C5" i="3"/>
  <c r="D5" i="3"/>
  <c r="E5" i="3"/>
  <c r="G5" i="3"/>
  <c r="H5" i="3"/>
  <c r="I5" i="3"/>
  <c r="J5" i="3"/>
  <c r="L5" i="3"/>
  <c r="M5" i="3"/>
  <c r="N5" i="3"/>
  <c r="F5" i="3"/>
  <c r="D3" i="3"/>
  <c r="E3" i="3"/>
  <c r="F3" i="3"/>
  <c r="G3" i="3"/>
  <c r="H3" i="3"/>
  <c r="I3" i="3"/>
  <c r="J3" i="3"/>
  <c r="K3" i="3"/>
  <c r="L3" i="3"/>
  <c r="M3" i="3"/>
  <c r="N3" i="3"/>
  <c r="O3" i="3"/>
  <c r="C3" i="3"/>
  <c r="K6" i="4" l="1"/>
  <c r="B6" i="4"/>
  <c r="H6" i="4"/>
  <c r="I6" i="4"/>
  <c r="J6" i="4"/>
  <c r="G6" i="4"/>
  <c r="D6" i="4"/>
  <c r="F6" i="4"/>
  <c r="D9" i="4"/>
  <c r="O6" i="3"/>
  <c r="N6" i="3"/>
  <c r="M6" i="3"/>
  <c r="L6" i="3"/>
  <c r="J6" i="3"/>
  <c r="I6" i="3"/>
  <c r="H6" i="3"/>
  <c r="G6" i="3"/>
  <c r="D11" i="3" l="1"/>
  <c r="D10" i="3"/>
  <c r="F12" i="2" l="1"/>
  <c r="G12" i="2" s="1"/>
  <c r="F11" i="2"/>
  <c r="G11" i="2" s="1"/>
  <c r="F10" i="2"/>
  <c r="G10" i="2" s="1"/>
  <c r="F9" i="2"/>
  <c r="G9" i="2" s="1"/>
  <c r="F8" i="2"/>
  <c r="G8" i="2" s="1"/>
  <c r="F3" i="2"/>
  <c r="G3" i="2" s="1"/>
  <c r="F2" i="2"/>
  <c r="G2" i="2" s="1"/>
  <c r="C3" i="1"/>
  <c r="C5" i="1" s="1"/>
  <c r="D3" i="1"/>
  <c r="D5" i="1" s="1"/>
  <c r="E3" i="1"/>
  <c r="E5" i="1" s="1"/>
  <c r="F3" i="1"/>
  <c r="F5" i="1" s="1"/>
  <c r="B3" i="1"/>
  <c r="B5" i="1" s="1"/>
</calcChain>
</file>

<file path=xl/sharedStrings.xml><?xml version="1.0" encoding="utf-8"?>
<sst xmlns="http://schemas.openxmlformats.org/spreadsheetml/2006/main" count="59" uniqueCount="45">
  <si>
    <t>Grid GWh</t>
  </si>
  <si>
    <t>Grid GWa</t>
  </si>
  <si>
    <t>Solar GWa</t>
  </si>
  <si>
    <t>Total GWa</t>
  </si>
  <si>
    <t>nuc_hc</t>
  </si>
  <si>
    <t>hydro_lc</t>
  </si>
  <si>
    <t>hydro_hc</t>
  </si>
  <si>
    <t>bio_ppl</t>
  </si>
  <si>
    <t>coal_adv</t>
  </si>
  <si>
    <t>coal_ppl_u</t>
  </si>
  <si>
    <t>gas_cc</t>
  </si>
  <si>
    <t>gas_ct</t>
  </si>
  <si>
    <t>gas_ppl</t>
  </si>
  <si>
    <t>ratios_2020</t>
  </si>
  <si>
    <t>2025_est</t>
  </si>
  <si>
    <t>elec_imp_asia</t>
  </si>
  <si>
    <t>foil_ppl</t>
  </si>
  <si>
    <t>wind_res_hist_</t>
  </si>
  <si>
    <t>solar_res_hist_</t>
  </si>
  <si>
    <t>Hydro</t>
  </si>
  <si>
    <t>Nuclear</t>
  </si>
  <si>
    <t>Import</t>
  </si>
  <si>
    <t>Wind</t>
  </si>
  <si>
    <t>Bagasse/Biomass</t>
  </si>
  <si>
    <t>Coal</t>
  </si>
  <si>
    <t>Gas</t>
  </si>
  <si>
    <t>Oil</t>
  </si>
  <si>
    <t>CAP(GW)</t>
  </si>
  <si>
    <t>ACT(Gwa)</t>
  </si>
  <si>
    <t>CF</t>
  </si>
  <si>
    <t>CAP</t>
  </si>
  <si>
    <t>ACT</t>
  </si>
  <si>
    <t>Hist_2010</t>
  </si>
  <si>
    <t>Hist_2015</t>
  </si>
  <si>
    <t>Hist_2020</t>
  </si>
  <si>
    <t>Hist_2025</t>
  </si>
  <si>
    <t>CAP(MW)</t>
  </si>
  <si>
    <t>ACT(GWh)</t>
  </si>
  <si>
    <t>2021_est</t>
  </si>
  <si>
    <t>2022_est</t>
  </si>
  <si>
    <t>2023_est</t>
  </si>
  <si>
    <t>2024_est</t>
  </si>
  <si>
    <t>TOTAL</t>
  </si>
  <si>
    <t>2025_est Gwa</t>
  </si>
  <si>
    <t>2025 * 1.005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</si>
</sst>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B2B2B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Border="1"/>
    <xf numFmtId="0" fontId="1" fillId="0" borderId="0" xfId="0" applyFont="1" applyBorder="1" applyAlignment="1">
      <alignment horizontal="right"/>
    </xf>
    <xf numFmtId="0" fontId="0" fillId="0" borderId="0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0AA6-5DBC-4E82-8005-E4904F084E1A}">
  <dimension ref="A1:I17"/>
  <sheetViews>
    <sheetView tabSelected="1" workbookViewId="0">
      <selection activeCell="I14" sqref="I14"/>
    </sheetView>
  </sheetViews>
  <sheetFormatPr defaultRowHeight="14.25" x14ac:dyDescent="0.45"/>
  <cols>
    <col min="2" max="2" width="11.73046875" bestFit="1" customWidth="1"/>
    <col min="4" max="4" width="13.265625" bestFit="1" customWidth="1"/>
  </cols>
  <sheetData>
    <row r="1" spans="1:9" x14ac:dyDescent="0.45">
      <c r="A1" s="1" t="s">
        <v>19</v>
      </c>
      <c r="B1" s="1">
        <v>40209.083172826933</v>
      </c>
      <c r="E1">
        <v>2020</v>
      </c>
      <c r="F1" t="s">
        <v>13</v>
      </c>
      <c r="G1" t="s">
        <v>14</v>
      </c>
      <c r="H1" t="s">
        <v>43</v>
      </c>
      <c r="I1" t="s">
        <v>44</v>
      </c>
    </row>
    <row r="2" spans="1:9" x14ac:dyDescent="0.45">
      <c r="A2" s="1" t="s">
        <v>20</v>
      </c>
      <c r="B2" s="1">
        <v>28636.137913927301</v>
      </c>
      <c r="D2" s="8" t="s">
        <v>6</v>
      </c>
      <c r="E2" s="8">
        <v>4.2637468439246975</v>
      </c>
      <c r="F2" s="8">
        <f>E2/(E2+E3)</f>
        <v>0.95799888870257255</v>
      </c>
      <c r="G2" s="8">
        <f>B1*F2</f>
        <v>38520.256995317512</v>
      </c>
      <c r="H2" s="8">
        <f>G2/8760</f>
        <v>4.3972896113376159</v>
      </c>
      <c r="I2" s="8">
        <f>H2*1.005</f>
        <v>4.4192760593943037</v>
      </c>
    </row>
    <row r="3" spans="1:9" x14ac:dyDescent="0.45">
      <c r="A3" s="1" t="s">
        <v>21</v>
      </c>
      <c r="B3" s="1">
        <v>349.60318642695398</v>
      </c>
      <c r="D3" s="8" t="s">
        <v>5</v>
      </c>
      <c r="E3" s="8">
        <v>0.186933521372106</v>
      </c>
      <c r="F3" s="8">
        <f>E3/(E2+E3)</f>
        <v>4.2001111297427424E-2</v>
      </c>
      <c r="G3" s="8">
        <f>B1*F3</f>
        <v>1688.8261775094202</v>
      </c>
      <c r="H3" s="8">
        <f t="shared" ref="H3:H15" si="0">G3/8760</f>
        <v>0.192788376428016</v>
      </c>
      <c r="I3" s="8">
        <f t="shared" ref="I3:I14" si="1">H3*1.005</f>
        <v>0.19375231831015605</v>
      </c>
    </row>
    <row r="4" spans="1:9" x14ac:dyDescent="0.45">
      <c r="A4" s="1" t="s">
        <v>22</v>
      </c>
      <c r="B4" s="1">
        <v>4261.6336231170544</v>
      </c>
      <c r="D4" s="8" t="s">
        <v>4</v>
      </c>
      <c r="E4" s="8">
        <v>1.1298961187214611</v>
      </c>
      <c r="F4" s="8">
        <v>1</v>
      </c>
      <c r="G4" s="8">
        <v>28636.137913927301</v>
      </c>
      <c r="H4" s="8">
        <f t="shared" si="0"/>
        <v>3.2689655152885049</v>
      </c>
      <c r="I4" s="8">
        <f t="shared" si="1"/>
        <v>3.2853103428649471</v>
      </c>
    </row>
    <row r="5" spans="1:9" x14ac:dyDescent="0.45">
      <c r="A5" s="1" t="s">
        <v>23</v>
      </c>
      <c r="B5" s="1">
        <v>774.27939244993968</v>
      </c>
      <c r="D5" s="8" t="s">
        <v>15</v>
      </c>
      <c r="E5" s="8">
        <v>5.8646118721461186E-2</v>
      </c>
      <c r="F5" s="8">
        <v>1</v>
      </c>
      <c r="G5" s="8">
        <v>349.60318642695398</v>
      </c>
      <c r="H5" s="8">
        <f t="shared" si="0"/>
        <v>3.9909039546455936E-2</v>
      </c>
      <c r="I5" s="8">
        <f t="shared" si="1"/>
        <v>4.0108584744188214E-2</v>
      </c>
    </row>
    <row r="6" spans="1:9" x14ac:dyDescent="0.45">
      <c r="A6" s="1" t="s">
        <v>24</v>
      </c>
      <c r="B6" s="1">
        <v>19373.728626380918</v>
      </c>
      <c r="D6" t="s">
        <v>17</v>
      </c>
      <c r="G6" s="8">
        <v>4261.6336231170544</v>
      </c>
      <c r="H6">
        <f t="shared" si="0"/>
        <v>0.4864878565202117</v>
      </c>
      <c r="I6">
        <f t="shared" si="1"/>
        <v>0.48892029580281271</v>
      </c>
    </row>
    <row r="7" spans="1:9" x14ac:dyDescent="0.45">
      <c r="A7" s="1" t="s">
        <v>25</v>
      </c>
      <c r="B7" s="1">
        <v>41790.353372722238</v>
      </c>
      <c r="D7" s="8" t="s">
        <v>7</v>
      </c>
      <c r="E7" s="8">
        <v>6.4436073060000001E-2</v>
      </c>
      <c r="F7" s="8">
        <v>1</v>
      </c>
      <c r="G7" s="8">
        <v>774.27939244993968</v>
      </c>
      <c r="H7" s="8">
        <f t="shared" si="0"/>
        <v>8.8388058498851563E-2</v>
      </c>
      <c r="I7" s="8">
        <f t="shared" si="1"/>
        <v>8.8829998791345816E-2</v>
      </c>
    </row>
    <row r="8" spans="1:9" x14ac:dyDescent="0.45">
      <c r="A8" s="1" t="s">
        <v>26</v>
      </c>
      <c r="B8" s="1">
        <v>2741.3347412794351</v>
      </c>
      <c r="D8" s="8" t="s">
        <v>8</v>
      </c>
      <c r="E8" s="8">
        <v>2.493276622261166</v>
      </c>
      <c r="F8" s="8">
        <f>E8/SUM(E8:E9)</f>
        <v>0.84113104887702028</v>
      </c>
      <c r="G8" s="8">
        <f>B6*F8</f>
        <v>16295.844680166536</v>
      </c>
      <c r="H8" s="8">
        <f t="shared" si="0"/>
        <v>1.8602562420281434</v>
      </c>
      <c r="I8" s="8">
        <f t="shared" si="1"/>
        <v>1.8695575232382839</v>
      </c>
    </row>
    <row r="9" spans="1:9" x14ac:dyDescent="0.45">
      <c r="D9" s="8" t="s">
        <v>9</v>
      </c>
      <c r="E9" s="8">
        <v>0.47091858321828589</v>
      </c>
      <c r="F9" s="8">
        <f>E9/SUM(E8:E9)</f>
        <v>0.15886895112297972</v>
      </c>
      <c r="G9" s="8">
        <f>B6*F9</f>
        <v>3077.8839462143833</v>
      </c>
      <c r="H9" s="8">
        <f t="shared" si="0"/>
        <v>0.35135661486465564</v>
      </c>
      <c r="I9" s="8">
        <f t="shared" si="1"/>
        <v>0.35311339793897889</v>
      </c>
    </row>
    <row r="10" spans="1:9" x14ac:dyDescent="0.45">
      <c r="D10" s="8" t="s">
        <v>10</v>
      </c>
      <c r="E10" s="8">
        <v>4.3424301453868122</v>
      </c>
      <c r="F10" s="8">
        <f>E10/SUM(E10:E12)</f>
        <v>0.74247279965656388</v>
      </c>
      <c r="G10" s="8">
        <f>B7*F10</f>
        <v>31028.200667282206</v>
      </c>
      <c r="H10" s="8">
        <f t="shared" si="0"/>
        <v>3.5420320396440874</v>
      </c>
      <c r="I10" s="8">
        <f t="shared" si="1"/>
        <v>3.5597421998423076</v>
      </c>
    </row>
    <row r="11" spans="1:9" x14ac:dyDescent="0.45">
      <c r="D11" s="8" t="s">
        <v>11</v>
      </c>
      <c r="E11" s="8">
        <v>8.2467949741523577E-2</v>
      </c>
      <c r="F11" s="8">
        <f>E11/SUM(E10:E12)</f>
        <v>1.4100447785342921E-2</v>
      </c>
      <c r="G11" s="8">
        <f>B7*F11</f>
        <v>589.26269566309941</v>
      </c>
      <c r="H11" s="8">
        <f t="shared" si="0"/>
        <v>6.7267431011769338E-2</v>
      </c>
      <c r="I11" s="8">
        <f t="shared" si="1"/>
        <v>6.7603768166828171E-2</v>
      </c>
    </row>
    <row r="12" spans="1:9" x14ac:dyDescent="0.45">
      <c r="D12" s="8" t="s">
        <v>12</v>
      </c>
      <c r="E12" s="8">
        <v>1.4237069277027146</v>
      </c>
      <c r="F12" s="8">
        <f>E12/SUM(E10:E12)</f>
        <v>0.2434267525580931</v>
      </c>
      <c r="G12" s="8">
        <f>B7*F12</f>
        <v>10172.890009776927</v>
      </c>
      <c r="H12" s="8">
        <f t="shared" si="0"/>
        <v>1.1612888139014756</v>
      </c>
      <c r="I12" s="8">
        <f t="shared" si="1"/>
        <v>1.1670952579709828</v>
      </c>
    </row>
    <row r="13" spans="1:9" x14ac:dyDescent="0.45">
      <c r="D13" s="8" t="s">
        <v>16</v>
      </c>
      <c r="E13" s="8">
        <v>0.47759360730593597</v>
      </c>
      <c r="F13" s="8">
        <v>1</v>
      </c>
      <c r="G13" s="8">
        <v>2741.3347412794351</v>
      </c>
      <c r="H13" s="8">
        <f t="shared" si="0"/>
        <v>0.31293775585381678</v>
      </c>
      <c r="I13" s="8">
        <f t="shared" si="1"/>
        <v>0.31450244463308585</v>
      </c>
    </row>
    <row r="14" spans="1:9" x14ac:dyDescent="0.45">
      <c r="D14" t="s">
        <v>18</v>
      </c>
      <c r="G14" s="8">
        <v>29310.959999999999</v>
      </c>
      <c r="H14">
        <f t="shared" si="0"/>
        <v>3.3460000000000001</v>
      </c>
      <c r="I14">
        <f t="shared" si="1"/>
        <v>3.3627299999999996</v>
      </c>
    </row>
    <row r="15" spans="1:9" x14ac:dyDescent="0.45">
      <c r="D15" t="s">
        <v>42</v>
      </c>
      <c r="G15" s="8">
        <f>SUM(G2:G14)</f>
        <v>167447.11402913075</v>
      </c>
      <c r="H15">
        <f t="shared" si="0"/>
        <v>19.114967354923603</v>
      </c>
    </row>
    <row r="17" spans="1:1" x14ac:dyDescent="0.45">
      <c r="A1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AB6D-99E2-4D9E-B088-4D5777657454}">
  <dimension ref="A1:K10"/>
  <sheetViews>
    <sheetView zoomScale="109" workbookViewId="0">
      <selection activeCell="A10" sqref="A10"/>
    </sheetView>
  </sheetViews>
  <sheetFormatPr defaultColWidth="11.73046875" defaultRowHeight="14.25" x14ac:dyDescent="0.45"/>
  <cols>
    <col min="2" max="2" width="13" bestFit="1" customWidth="1"/>
    <col min="3" max="3" width="8.19921875" bestFit="1" customWidth="1"/>
  </cols>
  <sheetData>
    <row r="1" spans="1:11" x14ac:dyDescent="0.45">
      <c r="B1">
        <v>2016</v>
      </c>
      <c r="C1">
        <v>2017</v>
      </c>
      <c r="D1">
        <v>2018</v>
      </c>
      <c r="E1">
        <v>2019</v>
      </c>
      <c r="F1">
        <v>2020</v>
      </c>
      <c r="G1" t="s">
        <v>38</v>
      </c>
      <c r="H1" t="s">
        <v>39</v>
      </c>
      <c r="I1" t="s">
        <v>40</v>
      </c>
      <c r="J1" t="s">
        <v>41</v>
      </c>
      <c r="K1" t="s">
        <v>14</v>
      </c>
    </row>
    <row r="2" spans="1:11" x14ac:dyDescent="0.45">
      <c r="A2" t="s">
        <v>36</v>
      </c>
      <c r="B2" s="5">
        <v>400</v>
      </c>
      <c r="C2">
        <v>400</v>
      </c>
      <c r="D2">
        <v>430</v>
      </c>
      <c r="E2">
        <v>480</v>
      </c>
      <c r="F2">
        <v>530</v>
      </c>
      <c r="G2">
        <v>4500</v>
      </c>
      <c r="H2">
        <v>6500</v>
      </c>
      <c r="I2">
        <v>9200</v>
      </c>
      <c r="J2">
        <v>13500</v>
      </c>
      <c r="K2">
        <v>26500</v>
      </c>
    </row>
    <row r="3" spans="1:11" x14ac:dyDescent="0.45">
      <c r="A3" t="s">
        <v>27</v>
      </c>
      <c r="B3" s="6">
        <f>B2/1000</f>
        <v>0.4</v>
      </c>
      <c r="C3" s="6">
        <f t="shared" ref="C3" si="0">C2/1000</f>
        <v>0.4</v>
      </c>
      <c r="D3" s="6">
        <f t="shared" ref="D3" si="1">D2/1000</f>
        <v>0.43</v>
      </c>
      <c r="E3" s="6">
        <f t="shared" ref="E3" si="2">E2/1000</f>
        <v>0.48</v>
      </c>
      <c r="F3" s="6">
        <f t="shared" ref="F3" si="3">F2/1000</f>
        <v>0.53</v>
      </c>
      <c r="G3" s="6">
        <f t="shared" ref="G3" si="4">G2/1000</f>
        <v>4.5</v>
      </c>
      <c r="H3" s="6">
        <f t="shared" ref="H3" si="5">H2/1000</f>
        <v>6.5</v>
      </c>
      <c r="I3" s="6">
        <f t="shared" ref="I3" si="6">I2/1000</f>
        <v>9.1999999999999993</v>
      </c>
      <c r="J3" s="6">
        <f t="shared" ref="J3" si="7">J2/1000</f>
        <v>13.5</v>
      </c>
      <c r="K3" s="6">
        <f t="shared" ref="K3" si="8">K2/1000</f>
        <v>26.5</v>
      </c>
    </row>
    <row r="4" spans="1:11" x14ac:dyDescent="0.45">
      <c r="A4" t="s">
        <v>37</v>
      </c>
      <c r="B4" s="5">
        <v>225</v>
      </c>
      <c r="C4">
        <v>635</v>
      </c>
      <c r="D4">
        <v>702.16</v>
      </c>
      <c r="E4">
        <v>771.43999999999994</v>
      </c>
      <c r="F4">
        <v>857.96</v>
      </c>
      <c r="G4">
        <v>5170</v>
      </c>
      <c r="H4">
        <v>7060</v>
      </c>
      <c r="I4">
        <v>9770</v>
      </c>
      <c r="J4">
        <v>15010</v>
      </c>
      <c r="K4">
        <v>29310</v>
      </c>
    </row>
    <row r="5" spans="1:11" x14ac:dyDescent="0.45">
      <c r="A5" t="s">
        <v>28</v>
      </c>
      <c r="B5">
        <f>ROUNDUP(B4/8760,3)</f>
        <v>2.6000000000000002E-2</v>
      </c>
      <c r="C5">
        <f t="shared" ref="C5:I5" si="9">ROUNDUP(C4/8760,3)</f>
        <v>7.2999999999999995E-2</v>
      </c>
      <c r="D5">
        <f t="shared" si="9"/>
        <v>8.1000000000000003E-2</v>
      </c>
      <c r="E5">
        <f t="shared" si="9"/>
        <v>8.8999999999999996E-2</v>
      </c>
      <c r="F5">
        <f>ROUNDUP(F4/8760,3)</f>
        <v>9.8000000000000004E-2</v>
      </c>
      <c r="G5">
        <f t="shared" si="9"/>
        <v>0.59099999999999997</v>
      </c>
      <c r="H5">
        <f t="shared" si="9"/>
        <v>0.80600000000000005</v>
      </c>
      <c r="I5">
        <f t="shared" si="9"/>
        <v>1.1159999999999999</v>
      </c>
      <c r="J5">
        <f>ROUNDUP(J4/8760,3)</f>
        <v>1.714</v>
      </c>
      <c r="K5">
        <f>ROUNDUP(K4/8760,3)</f>
        <v>3.3460000000000001</v>
      </c>
    </row>
    <row r="6" spans="1:11" x14ac:dyDescent="0.45">
      <c r="A6" t="s">
        <v>29</v>
      </c>
      <c r="B6">
        <f>ROUNDUP(B5/B3,3)</f>
        <v>6.5000000000000002E-2</v>
      </c>
      <c r="C6">
        <f t="shared" ref="C6:K6" si="10">ROUNDUP(C5/C3,3)</f>
        <v>0.183</v>
      </c>
      <c r="D6">
        <f t="shared" si="10"/>
        <v>0.189</v>
      </c>
      <c r="E6">
        <f t="shared" si="10"/>
        <v>0.186</v>
      </c>
      <c r="F6">
        <f>ROUNDUP(F5/F3,3)</f>
        <v>0.185</v>
      </c>
      <c r="G6">
        <f t="shared" si="10"/>
        <v>0.13200000000000001</v>
      </c>
      <c r="H6">
        <f t="shared" si="10"/>
        <v>0.124</v>
      </c>
      <c r="I6">
        <f t="shared" si="10"/>
        <v>0.122</v>
      </c>
      <c r="J6">
        <f t="shared" si="10"/>
        <v>0.127</v>
      </c>
      <c r="K6">
        <f t="shared" si="10"/>
        <v>0.127</v>
      </c>
    </row>
    <row r="8" spans="1:11" x14ac:dyDescent="0.45">
      <c r="B8" t="s">
        <v>30</v>
      </c>
      <c r="C8" t="s">
        <v>31</v>
      </c>
      <c r="D8" t="s">
        <v>29</v>
      </c>
    </row>
    <row r="9" spans="1:11" s="3" customFormat="1" x14ac:dyDescent="0.45">
      <c r="A9" s="3" t="s">
        <v>34</v>
      </c>
      <c r="B9" s="3">
        <f>F3/5</f>
        <v>0.10600000000000001</v>
      </c>
      <c r="C9" s="3">
        <f>F5</f>
        <v>9.8000000000000004E-2</v>
      </c>
      <c r="D9" s="3">
        <f>ROUNDUP(C9/(B9*5),3)</f>
        <v>0.185</v>
      </c>
    </row>
    <row r="10" spans="1:11" s="4" customFormat="1" x14ac:dyDescent="0.45">
      <c r="A10" s="4" t="s">
        <v>35</v>
      </c>
      <c r="B10" s="4">
        <f>(K3-F3)/5</f>
        <v>5.194</v>
      </c>
      <c r="C10" s="4">
        <f>K5-F5</f>
        <v>3.2480000000000002</v>
      </c>
      <c r="D10" s="4">
        <f>ROUNDUP(C10/(B10*5),3)</f>
        <v>0.126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0420-398B-4F9F-A094-5271566A6814}">
  <dimension ref="A1:P12"/>
  <sheetViews>
    <sheetView zoomScale="129" workbookViewId="0">
      <selection activeCell="F14" sqref="F14"/>
    </sheetView>
  </sheetViews>
  <sheetFormatPr defaultColWidth="11.73046875" defaultRowHeight="14.25" x14ac:dyDescent="0.45"/>
  <cols>
    <col min="2" max="2" width="13" bestFit="1" customWidth="1"/>
    <col min="3" max="3" width="8.19921875" bestFit="1" customWidth="1"/>
  </cols>
  <sheetData>
    <row r="1" spans="1:16" x14ac:dyDescent="0.45"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 t="s">
        <v>14</v>
      </c>
    </row>
    <row r="2" spans="1:16" x14ac:dyDescent="0.45">
      <c r="A2" t="s">
        <v>36</v>
      </c>
      <c r="B2" s="5">
        <v>0</v>
      </c>
      <c r="C2" s="6">
        <v>1</v>
      </c>
      <c r="D2" s="6">
        <v>50</v>
      </c>
      <c r="E2" s="6">
        <v>56</v>
      </c>
      <c r="F2" s="6">
        <v>56</v>
      </c>
      <c r="G2" s="5">
        <v>306</v>
      </c>
      <c r="H2">
        <v>785</v>
      </c>
      <c r="I2">
        <v>1048</v>
      </c>
      <c r="J2">
        <v>1248</v>
      </c>
      <c r="K2">
        <v>1248</v>
      </c>
      <c r="L2">
        <v>1248</v>
      </c>
      <c r="M2">
        <v>1838</v>
      </c>
      <c r="N2">
        <v>1838</v>
      </c>
      <c r="O2">
        <v>1838</v>
      </c>
    </row>
    <row r="3" spans="1:16" x14ac:dyDescent="0.45">
      <c r="A3" t="s">
        <v>27</v>
      </c>
      <c r="B3" s="6">
        <v>0</v>
      </c>
      <c r="C3" s="6">
        <f>C2/1000</f>
        <v>1E-3</v>
      </c>
      <c r="D3" s="6">
        <f t="shared" ref="D3:P3" si="0">D2/1000</f>
        <v>0.05</v>
      </c>
      <c r="E3" s="6">
        <f t="shared" si="0"/>
        <v>5.6000000000000001E-2</v>
      </c>
      <c r="F3" s="6">
        <f t="shared" si="0"/>
        <v>5.6000000000000001E-2</v>
      </c>
      <c r="G3" s="6">
        <f t="shared" si="0"/>
        <v>0.30599999999999999</v>
      </c>
      <c r="H3" s="6">
        <f t="shared" si="0"/>
        <v>0.78500000000000003</v>
      </c>
      <c r="I3" s="6">
        <f t="shared" si="0"/>
        <v>1.048</v>
      </c>
      <c r="J3" s="6">
        <f t="shared" si="0"/>
        <v>1.248</v>
      </c>
      <c r="K3" s="6">
        <f t="shared" si="0"/>
        <v>1.248</v>
      </c>
      <c r="L3" s="6">
        <f t="shared" si="0"/>
        <v>1.248</v>
      </c>
      <c r="M3" s="6">
        <f t="shared" si="0"/>
        <v>1.8380000000000001</v>
      </c>
      <c r="N3" s="6">
        <f t="shared" si="0"/>
        <v>1.8380000000000001</v>
      </c>
      <c r="O3" s="6">
        <f t="shared" si="0"/>
        <v>1.8380000000000001</v>
      </c>
      <c r="P3">
        <v>1.8380000000000001</v>
      </c>
    </row>
    <row r="4" spans="1:16" x14ac:dyDescent="0.45">
      <c r="A4" t="s">
        <v>37</v>
      </c>
      <c r="B4" s="5">
        <v>0</v>
      </c>
      <c r="C4" s="5">
        <v>6</v>
      </c>
      <c r="D4" s="5">
        <v>32</v>
      </c>
      <c r="E4" s="5">
        <v>263</v>
      </c>
      <c r="F4" s="5">
        <v>300</v>
      </c>
      <c r="G4" s="5">
        <v>691</v>
      </c>
      <c r="H4">
        <v>1387</v>
      </c>
      <c r="I4">
        <v>2145.0700000000002</v>
      </c>
      <c r="J4">
        <v>3231.64</v>
      </c>
      <c r="K4">
        <v>2882.48</v>
      </c>
      <c r="L4">
        <v>2899.94</v>
      </c>
      <c r="M4">
        <v>4584.17</v>
      </c>
      <c r="N4">
        <v>4086.05</v>
      </c>
      <c r="O4">
        <v>3941.07</v>
      </c>
      <c r="P4">
        <v>4261.6336231170544</v>
      </c>
    </row>
    <row r="5" spans="1:16" x14ac:dyDescent="0.45">
      <c r="A5" t="s">
        <v>28</v>
      </c>
      <c r="B5" s="7">
        <v>0</v>
      </c>
      <c r="C5">
        <f t="shared" ref="C5:E5" si="1">ROUNDUP(C4/8760,3)</f>
        <v>1E-3</v>
      </c>
      <c r="D5">
        <f t="shared" si="1"/>
        <v>4.0000000000000001E-3</v>
      </c>
      <c r="E5">
        <f t="shared" si="1"/>
        <v>3.1E-2</v>
      </c>
      <c r="F5">
        <f>ROUNDUP(F4/8760,3)</f>
        <v>3.5000000000000003E-2</v>
      </c>
      <c r="G5">
        <f t="shared" ref="G5:O5" si="2">ROUNDUP(G4/8760,3)</f>
        <v>7.9000000000000001E-2</v>
      </c>
      <c r="H5">
        <f t="shared" si="2"/>
        <v>0.159</v>
      </c>
      <c r="I5">
        <f t="shared" si="2"/>
        <v>0.245</v>
      </c>
      <c r="J5">
        <f t="shared" si="2"/>
        <v>0.36899999999999999</v>
      </c>
      <c r="K5">
        <f>ROUNDUP(K4/8760,3)</f>
        <v>0.33</v>
      </c>
      <c r="L5">
        <f t="shared" si="2"/>
        <v>0.33200000000000002</v>
      </c>
      <c r="M5">
        <f t="shared" si="2"/>
        <v>0.52400000000000002</v>
      </c>
      <c r="N5">
        <f t="shared" si="2"/>
        <v>0.46700000000000003</v>
      </c>
      <c r="O5">
        <f>ROUNDUP(O4/8760,3)</f>
        <v>0.45</v>
      </c>
      <c r="P5">
        <f>ROUNDUP(P4/8760,3)</f>
        <v>0.48699999999999999</v>
      </c>
    </row>
    <row r="6" spans="1:16" x14ac:dyDescent="0.45">
      <c r="A6" t="s">
        <v>29</v>
      </c>
      <c r="C6">
        <f t="shared" ref="C6:E6" si="3">ROUNDUP(C5/C3,3)</f>
        <v>1</v>
      </c>
      <c r="D6">
        <f t="shared" si="3"/>
        <v>0.08</v>
      </c>
      <c r="E6">
        <f t="shared" si="3"/>
        <v>0.55400000000000005</v>
      </c>
      <c r="F6">
        <f>ROUNDUP(F5/F3,3)</f>
        <v>0.625</v>
      </c>
      <c r="G6">
        <f t="shared" ref="G6:P6" si="4">ROUNDUP(G5/G3,3)</f>
        <v>0.25900000000000001</v>
      </c>
      <c r="H6">
        <f t="shared" si="4"/>
        <v>0.20300000000000001</v>
      </c>
      <c r="I6">
        <f t="shared" si="4"/>
        <v>0.23400000000000001</v>
      </c>
      <c r="J6">
        <f t="shared" si="4"/>
        <v>0.29599999999999999</v>
      </c>
      <c r="K6">
        <f>ROUNDUP(K5/K3,3)</f>
        <v>0.26500000000000001</v>
      </c>
      <c r="L6">
        <f t="shared" si="4"/>
        <v>0.26700000000000002</v>
      </c>
      <c r="M6">
        <f t="shared" si="4"/>
        <v>0.28599999999999998</v>
      </c>
      <c r="N6">
        <f t="shared" si="4"/>
        <v>0.255</v>
      </c>
      <c r="O6">
        <f t="shared" si="4"/>
        <v>0.245</v>
      </c>
    </row>
    <row r="8" spans="1:16" x14ac:dyDescent="0.45">
      <c r="B8" t="s">
        <v>30</v>
      </c>
      <c r="C8" t="s">
        <v>31</v>
      </c>
      <c r="D8" t="s">
        <v>29</v>
      </c>
    </row>
    <row r="9" spans="1:16" s="2" customFormat="1" x14ac:dyDescent="0.45">
      <c r="A9" s="2" t="s">
        <v>32</v>
      </c>
      <c r="B9" s="2">
        <v>0</v>
      </c>
      <c r="C9" s="2">
        <v>0</v>
      </c>
      <c r="D9" s="2">
        <v>0</v>
      </c>
    </row>
    <row r="10" spans="1:16" s="3" customFormat="1" x14ac:dyDescent="0.45">
      <c r="A10" s="3" t="s">
        <v>33</v>
      </c>
      <c r="B10" s="3">
        <f>F3/5</f>
        <v>1.12E-2</v>
      </c>
      <c r="C10" s="3">
        <f>F5</f>
        <v>3.5000000000000003E-2</v>
      </c>
      <c r="D10" s="3">
        <f>ROUNDUP(C10/(B10*5),3)</f>
        <v>0.625</v>
      </c>
    </row>
    <row r="11" spans="1:16" s="3" customFormat="1" x14ac:dyDescent="0.45">
      <c r="A11" s="3" t="s">
        <v>34</v>
      </c>
      <c r="B11" s="3">
        <f>(K3-F3)/5</f>
        <v>0.2384</v>
      </c>
      <c r="C11" s="3">
        <f>K5-F5</f>
        <v>0.29500000000000004</v>
      </c>
      <c r="D11" s="3">
        <f>ROUNDUP(C11/(B11*5),3)</f>
        <v>0.248</v>
      </c>
    </row>
    <row r="12" spans="1:16" s="4" customFormat="1" x14ac:dyDescent="0.45">
      <c r="A12" s="4" t="s">
        <v>35</v>
      </c>
      <c r="B12" s="4">
        <f>(P3-K3)/5</f>
        <v>0.11800000000000002</v>
      </c>
      <c r="C12" s="4">
        <f>P5-K5</f>
        <v>0.15699999999999997</v>
      </c>
      <c r="D12" s="4">
        <f>ROUNDUP(C12/(B12*5),3)</f>
        <v>0.26700000000000002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969C-758E-4239-95D2-CD9361E46A3F}">
  <dimension ref="A1:G5"/>
  <sheetViews>
    <sheetView workbookViewId="0">
      <selection activeCell="B4" sqref="B4"/>
    </sheetView>
  </sheetViews>
  <sheetFormatPr defaultRowHeight="14.25" x14ac:dyDescent="0.45"/>
  <sheetData>
    <row r="1" spans="1:7" x14ac:dyDescent="0.45">
      <c r="B1">
        <v>2020</v>
      </c>
      <c r="C1">
        <v>2021</v>
      </c>
      <c r="D1">
        <v>2022</v>
      </c>
      <c r="E1">
        <v>2023</v>
      </c>
      <c r="F1">
        <v>2024</v>
      </c>
    </row>
    <row r="2" spans="1:7" x14ac:dyDescent="0.45">
      <c r="A2" t="s">
        <v>0</v>
      </c>
      <c r="B2">
        <v>134241.49</v>
      </c>
      <c r="C2">
        <v>143588.07999999999</v>
      </c>
      <c r="D2">
        <v>154056.18</v>
      </c>
      <c r="E2">
        <v>138539</v>
      </c>
      <c r="F2">
        <v>137196.07</v>
      </c>
    </row>
    <row r="3" spans="1:7" x14ac:dyDescent="0.45">
      <c r="A3" t="s">
        <v>1</v>
      </c>
      <c r="B3">
        <f>B2/8760</f>
        <v>15.32437100456621</v>
      </c>
      <c r="C3">
        <f t="shared" ref="C3:F3" si="0">C2/8760</f>
        <v>16.391333333333332</v>
      </c>
      <c r="D3">
        <f t="shared" si="0"/>
        <v>17.586321917808217</v>
      </c>
      <c r="E3">
        <f t="shared" si="0"/>
        <v>15.814954337899543</v>
      </c>
      <c r="F3">
        <f t="shared" si="0"/>
        <v>15.66165182648402</v>
      </c>
    </row>
    <row r="4" spans="1:7" x14ac:dyDescent="0.45">
      <c r="A4" t="s">
        <v>2</v>
      </c>
      <c r="B4">
        <v>0.373</v>
      </c>
      <c r="C4">
        <v>0.59099999999999997</v>
      </c>
      <c r="D4">
        <v>0.80600000000000005</v>
      </c>
      <c r="E4">
        <v>1.1159999999999999</v>
      </c>
      <c r="F4">
        <v>1.714</v>
      </c>
      <c r="G4">
        <v>3.3460000000000001</v>
      </c>
    </row>
    <row r="5" spans="1:7" x14ac:dyDescent="0.45">
      <c r="A5" t="s">
        <v>3</v>
      </c>
      <c r="B5">
        <f>SUM(B3:B4)</f>
        <v>15.697371004566209</v>
      </c>
      <c r="C5">
        <f t="shared" ref="C5:F5" si="1">SUM(C3:C4)</f>
        <v>16.982333333333333</v>
      </c>
      <c r="D5">
        <f t="shared" si="1"/>
        <v>18.392321917808218</v>
      </c>
      <c r="E5">
        <f t="shared" si="1"/>
        <v>16.930954337899543</v>
      </c>
      <c r="F5">
        <f t="shared" si="1"/>
        <v>17.37565182648402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Solar</vt:lpstr>
      <vt:lpstr>Wind</vt:lpstr>
      <vt:lpstr>Solar+Total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2025-09-17T16:40:15Z</dcterms:created>
  <dcterms:modified xsi:type="dcterms:W3CDTF">2025-09-23T06:39:17Z</dcterms:modified>
</cp:coreProperties>
</file>