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D333957D-DC89-4412-AD2B-99FE9B5A3AE4}" xr6:coauthVersionLast="47" xr6:coauthVersionMax="47" xr10:uidLastSave="{00000000-0000-0000-0000-000000000000}"/>
  <bookViews>
    <workbookView xWindow="-98" yWindow="-98" windowWidth="21795" windowHeight="13695" activeTab="4" xr2:uid="{361B9F29-7841-45E6-92D6-640BD46AC36D}"/>
  </bookViews>
  <sheets>
    <sheet name="Thermal" sheetId="5" r:id="rId1"/>
    <sheet name="Plant-wise Capacity" sheetId="2" r:id="rId2"/>
    <sheet name="Solar" sheetId="6" r:id="rId3"/>
    <sheet name="Sheet4" sheetId="4" r:id="rId4"/>
    <sheet name="Plant-wise Generation" sheetId="1" r:id="rId5"/>
  </sheets>
  <definedNames>
    <definedName name="_xlnm._FilterDatabase" localSheetId="1" hidden="1">'Plant-wise Capacity'!$A$1:$I$215</definedName>
    <definedName name="_xlnm._FilterDatabase" localSheetId="4" hidden="1">'Plant-wise Generation'!$A$1:$H$197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6" l="1"/>
  <c r="G16" i="6"/>
  <c r="H16" i="6"/>
  <c r="I16" i="6"/>
  <c r="J16" i="6"/>
  <c r="E16" i="6"/>
  <c r="O214" i="1" l="1"/>
  <c r="P214" i="1"/>
  <c r="Q214" i="1"/>
  <c r="R214" i="1"/>
  <c r="N214" i="1"/>
  <c r="L182" i="1"/>
  <c r="G77" i="5"/>
  <c r="D77" i="5"/>
  <c r="E77" i="5"/>
  <c r="F77" i="5"/>
  <c r="C77" i="5"/>
  <c r="G73" i="5"/>
  <c r="H73" i="5"/>
  <c r="I73" i="5"/>
  <c r="J73" i="5"/>
  <c r="F73" i="5"/>
  <c r="G53" i="5"/>
  <c r="H53" i="5"/>
  <c r="I53" i="5"/>
  <c r="J53" i="5"/>
  <c r="F53" i="5"/>
  <c r="G13" i="5"/>
  <c r="H13" i="5"/>
  <c r="I13" i="5"/>
  <c r="J13" i="5"/>
  <c r="F13" i="5"/>
  <c r="J98" i="2" l="1"/>
  <c r="J40" i="2"/>
  <c r="O112" i="1"/>
  <c r="Q106" i="1" s="1"/>
  <c r="O110" i="1"/>
  <c r="O111" i="1" s="1"/>
  <c r="J41" i="4"/>
  <c r="J40" i="4"/>
  <c r="Q101" i="1"/>
  <c r="O102" i="1"/>
  <c r="D16" i="4"/>
  <c r="D15" i="4"/>
  <c r="H10" i="4"/>
  <c r="O47" i="1"/>
  <c r="O48" i="1" s="1"/>
  <c r="Q6" i="1"/>
  <c r="Q5" i="1"/>
  <c r="O7" i="1"/>
  <c r="O8" i="1" s="1"/>
  <c r="R5" i="1" l="1"/>
  <c r="S5" i="1" s="1"/>
  <c r="Q44" i="1"/>
  <c r="Q45" i="1"/>
  <c r="R45" i="1" s="1"/>
  <c r="S45" i="1" s="1"/>
  <c r="Q46" i="1"/>
  <c r="R46" i="1" s="1"/>
  <c r="S46" i="1" s="1"/>
  <c r="R6" i="1"/>
  <c r="S6" i="1" s="1"/>
  <c r="S7" i="1" l="1"/>
  <c r="R44" i="1"/>
  <c r="S44" i="1" s="1"/>
  <c r="S47" i="1" s="1"/>
</calcChain>
</file>

<file path=xl/sharedStrings.xml><?xml version="1.0" encoding="utf-8"?>
<sst xmlns="http://schemas.openxmlformats.org/spreadsheetml/2006/main" count="1632" uniqueCount="443">
  <si>
    <t>Power Station</t>
  </si>
  <si>
    <t>Primary
Fuel</t>
  </si>
  <si>
    <t>Alternate
Fuel</t>
  </si>
  <si>
    <t>2019-20</t>
  </si>
  <si>
    <t>2020-21</t>
  </si>
  <si>
    <t>2021-22</t>
  </si>
  <si>
    <t>2022-23</t>
  </si>
  <si>
    <t>2023-24</t>
  </si>
  <si>
    <t>A1: Hydel (WAPDA)</t>
  </si>
  <si>
    <t>Major Hydropower Units</t>
  </si>
  <si>
    <t>Tarbela</t>
  </si>
  <si>
    <t>Hydel</t>
  </si>
  <si>
    <t>Tarbela 4th Ext.</t>
  </si>
  <si>
    <t>Ghazi Barotha</t>
  </si>
  <si>
    <t>Mangla</t>
  </si>
  <si>
    <t>Warsak</t>
  </si>
  <si>
    <t>Chashma</t>
  </si>
  <si>
    <t>Khan Khwar</t>
  </si>
  <si>
    <t>Allai Khwar</t>
  </si>
  <si>
    <t>Jinnah</t>
  </si>
  <si>
    <t>Duber Khwar</t>
  </si>
  <si>
    <t>Neelum Jhelum</t>
  </si>
  <si>
    <t>Golen Gol</t>
  </si>
  <si>
    <t>Small Hydropower Units</t>
  </si>
  <si>
    <t>Dargai</t>
  </si>
  <si>
    <t>Rasul</t>
  </si>
  <si>
    <t>Shadiwal</t>
  </si>
  <si>
    <t>Chichoki Mallian</t>
  </si>
  <si>
    <t>Nandipur</t>
  </si>
  <si>
    <t>Kurram Garhi</t>
  </si>
  <si>
    <t>Renala</t>
  </si>
  <si>
    <t>Chitral</t>
  </si>
  <si>
    <t>Gomal Zam</t>
  </si>
  <si>
    <t>Malakand/Jabban</t>
  </si>
  <si>
    <t>Total Hydel (WAPDA)</t>
  </si>
  <si>
    <t>A2: Hydel (IPPs)</t>
  </si>
  <si>
    <t>Jagran (AJ&amp;K)</t>
  </si>
  <si>
    <t>Malakand-III (PEDO)</t>
  </si>
  <si>
    <t>Pehur (PEDO)</t>
  </si>
  <si>
    <t>Laraib Energy (AJK)</t>
  </si>
  <si>
    <t>Marala Hydro (PPDCL)</t>
  </si>
  <si>
    <t>Patrind Hydro (AJK)</t>
  </si>
  <si>
    <t>Gulpur Hydropower</t>
  </si>
  <si>
    <t>Daral Khwar</t>
  </si>
  <si>
    <t>--</t>
  </si>
  <si>
    <t>Ranolia</t>
  </si>
  <si>
    <t>Karot Power Co.</t>
  </si>
  <si>
    <t>Total Hydel (IPPs)</t>
  </si>
  <si>
    <t>Total Hydel (A1 + A2)</t>
  </si>
  <si>
    <t>B1: Thermal (GENCOs: CPPA-G System)</t>
  </si>
  <si>
    <t>TPS Jamshoro</t>
  </si>
  <si>
    <t>RFO + Gas</t>
  </si>
  <si>
    <t>RFO</t>
  </si>
  <si>
    <t>TPS Guddu (Units 5-10)</t>
  </si>
  <si>
    <t>Gas</t>
  </si>
  <si>
    <t>TPS Guddu (Units 11-13)</t>
  </si>
  <si>
    <t>TPS Guddu (Units 14-16)</t>
  </si>
  <si>
    <t xml:space="preserve">Gas </t>
  </si>
  <si>
    <t>HSD</t>
  </si>
  <si>
    <t>TPS Muzaffargarh</t>
  </si>
  <si>
    <t>GTPS Faisalabad</t>
  </si>
  <si>
    <t>TPS Nandipur</t>
  </si>
  <si>
    <t>Total Thermal (GENCOs: CPPA-G System)</t>
  </si>
  <si>
    <t>B2: Thermal (IPPs: CPPA-G System)</t>
  </si>
  <si>
    <t>Lal Pir Power</t>
  </si>
  <si>
    <t>Pak Gen. Power</t>
  </si>
  <si>
    <t>Altern Energy</t>
  </si>
  <si>
    <t>Fauji Kabirwala</t>
  </si>
  <si>
    <t>Habibullah Coastal</t>
  </si>
  <si>
    <t>Hub Power</t>
  </si>
  <si>
    <t>KAPCO</t>
  </si>
  <si>
    <t>RFO+HSD</t>
  </si>
  <si>
    <t>Kohinoor Energy</t>
  </si>
  <si>
    <t>Rousch Power</t>
  </si>
  <si>
    <t>Saba Power</t>
  </si>
  <si>
    <t>Liberty Daharki Power</t>
  </si>
  <si>
    <t>Uch Power</t>
  </si>
  <si>
    <t>Attock Gen.</t>
  </si>
  <si>
    <t>Atlas Power</t>
  </si>
  <si>
    <t>Engro Powergen. Qadirpur</t>
  </si>
  <si>
    <t>Saif Power</t>
  </si>
  <si>
    <t>Orient Power</t>
  </si>
  <si>
    <t>Nishat Power</t>
  </si>
  <si>
    <t>Nishat Chunian</t>
  </si>
  <si>
    <t>Sapphire Electric</t>
  </si>
  <si>
    <t>Halmore Power</t>
  </si>
  <si>
    <t>Narowal Energy</t>
  </si>
  <si>
    <t>Liberty Power Tech.</t>
  </si>
  <si>
    <t>Foundation Power</t>
  </si>
  <si>
    <t>Uch-II Power</t>
  </si>
  <si>
    <t>Low BTU Gas</t>
  </si>
  <si>
    <t>Huaneng Shandong Ruyi (Sahiwal)</t>
  </si>
  <si>
    <t>Bituminous Coal</t>
  </si>
  <si>
    <t>QATPL (Bhikki)</t>
  </si>
  <si>
    <t>RLNG</t>
  </si>
  <si>
    <t>NPPMCL (Haveli Bahadur Shah)</t>
  </si>
  <si>
    <t>NPPMCL (Balloki)</t>
  </si>
  <si>
    <t>Port Qasim Electric Power</t>
  </si>
  <si>
    <t>Bituminous Coal, HSD</t>
  </si>
  <si>
    <t>Reshma Power</t>
  </si>
  <si>
    <t>RFO/HSFO</t>
  </si>
  <si>
    <t>China Power Hub</t>
  </si>
  <si>
    <t>Imported Coal</t>
  </si>
  <si>
    <t>Engro Powergen Thar</t>
  </si>
  <si>
    <t>Thar Coal</t>
  </si>
  <si>
    <t>Lucky Electric Power</t>
  </si>
  <si>
    <t>Coal</t>
  </si>
  <si>
    <t>Punjab Thermal Power</t>
  </si>
  <si>
    <t>Thar Energy</t>
  </si>
  <si>
    <t>Thar Coal Block-1 Power</t>
  </si>
  <si>
    <t>ThalNova Power</t>
  </si>
  <si>
    <t>Total Thermal (IPPs/SPPs/CPPs: CPPA-G System)</t>
  </si>
  <si>
    <t>Total Thermal: CPPA-G System (B1+B2)</t>
  </si>
  <si>
    <t>C: Nuclear</t>
  </si>
  <si>
    <t>CHASNUPP-I</t>
  </si>
  <si>
    <t>NUC</t>
  </si>
  <si>
    <t>CHASNUPP-II</t>
  </si>
  <si>
    <t>CHASNUPP-III</t>
  </si>
  <si>
    <t>CHASNUPP-IV</t>
  </si>
  <si>
    <t>KANUPP</t>
  </si>
  <si>
    <t>KANUPP-II</t>
  </si>
  <si>
    <t>KANUPP-III</t>
  </si>
  <si>
    <t>Total Nuclear (C)</t>
  </si>
  <si>
    <t>D: Import</t>
  </si>
  <si>
    <t>Import from Iran (Tavanir)</t>
  </si>
  <si>
    <t>Total Import: CPPA-G System (D)</t>
  </si>
  <si>
    <t>E: Renewable Energy (CPPA-G System)</t>
  </si>
  <si>
    <t>E1: Wind Power Projects</t>
  </si>
  <si>
    <t>Zorlu Enerji Pakistan</t>
  </si>
  <si>
    <t>Wind</t>
  </si>
  <si>
    <t>FFC Energy</t>
  </si>
  <si>
    <t>Three Gorges First Wind Farm</t>
  </si>
  <si>
    <t>Foundation Wind Energy-I</t>
  </si>
  <si>
    <t>Foundation Wind Energy-II</t>
  </si>
  <si>
    <t>Sapphire Wind</t>
  </si>
  <si>
    <t>Yunus Energy</t>
  </si>
  <si>
    <t>Metro Power Company</t>
  </si>
  <si>
    <t>Gul Ahmad Wind</t>
  </si>
  <si>
    <t>Master Wind Energy</t>
  </si>
  <si>
    <t>Tenaga Generasi</t>
  </si>
  <si>
    <t>HydroChina Dawood Power</t>
  </si>
  <si>
    <t>Sachal Energy Development</t>
  </si>
  <si>
    <t>UEP Wind Power</t>
  </si>
  <si>
    <t>Artistic Wind Power</t>
  </si>
  <si>
    <t>Act Wind</t>
  </si>
  <si>
    <t>Hawa Energy</t>
  </si>
  <si>
    <t>Jhimpir Power</t>
  </si>
  <si>
    <t>Three Gorges Second Wind Farm</t>
  </si>
  <si>
    <t>Three Gorges Third Wind Farm</t>
  </si>
  <si>
    <t>Tricon Boston Consulting-A</t>
  </si>
  <si>
    <t>Tricon Boston Consulting-B</t>
  </si>
  <si>
    <t>Tricon Boston Consulting-C</t>
  </si>
  <si>
    <t>Zephyr Power</t>
  </si>
  <si>
    <t>Lucky Renewables</t>
  </si>
  <si>
    <t>Master Green Energy</t>
  </si>
  <si>
    <t>Act 2 Din Wind</t>
  </si>
  <si>
    <t>Artistic 2 Wind Power</t>
  </si>
  <si>
    <t>Indus Wind Energy</t>
  </si>
  <si>
    <t>Lakeside Energy</t>
  </si>
  <si>
    <t>Liberty Wind Power-I</t>
  </si>
  <si>
    <t>Din Energy</t>
  </si>
  <si>
    <t>Gul Ahmed Electric</t>
  </si>
  <si>
    <t>Liberty Wind Power-II</t>
  </si>
  <si>
    <t>NASDA Green Energy</t>
  </si>
  <si>
    <t>Metro 2 Wind Power</t>
  </si>
  <si>
    <t>Total Wind Power Projects</t>
  </si>
  <si>
    <t>E2: Solar Power Projects</t>
  </si>
  <si>
    <t>Quaid-e-Azam Solar Park</t>
  </si>
  <si>
    <t>Solar</t>
  </si>
  <si>
    <t>Appolo Solar Development</t>
  </si>
  <si>
    <t>Best Green Energy</t>
  </si>
  <si>
    <t>Crest Energy</t>
  </si>
  <si>
    <t>AJ Power</t>
  </si>
  <si>
    <t>Harappa Solar</t>
  </si>
  <si>
    <t>Atlas Solar</t>
  </si>
  <si>
    <t>Helios Power</t>
  </si>
  <si>
    <t>Meridian Energy</t>
  </si>
  <si>
    <t>HNDS Energy</t>
  </si>
  <si>
    <t>Net-Metering</t>
  </si>
  <si>
    <t>Total Solar</t>
  </si>
  <si>
    <t>E3: Bagasse/Biomass Power Projects</t>
  </si>
  <si>
    <t>Jamal Din Wali-II</t>
  </si>
  <si>
    <t>Bagasse + Biomass</t>
  </si>
  <si>
    <t>Jamal Din Wali-III</t>
  </si>
  <si>
    <t>RYK Mills</t>
  </si>
  <si>
    <t>Bagasse</t>
  </si>
  <si>
    <t>Chiniot Power</t>
  </si>
  <si>
    <t>Hamza Sugar Mills</t>
  </si>
  <si>
    <t>Thal Industries Corp.</t>
  </si>
  <si>
    <t xml:space="preserve">Bagasse </t>
  </si>
  <si>
    <t>FO</t>
  </si>
  <si>
    <t>Almoiz Industries</t>
  </si>
  <si>
    <t>Chanar Energy</t>
  </si>
  <si>
    <t>Total Bagasse/Biomass Power Projects</t>
  </si>
  <si>
    <t>Total Renewable Energy (E1+E2+E3) (CPPA-G System) (E</t>
  </si>
  <si>
    <t>F1: Thermal (KE Own)</t>
  </si>
  <si>
    <t>Bin Qasim TPS-I</t>
  </si>
  <si>
    <t xml:space="preserve">Dual </t>
  </si>
  <si>
    <t xml:space="preserve"> RLNG</t>
  </si>
  <si>
    <t>Bin Qasim TPS-II</t>
  </si>
  <si>
    <t>Bin Qasim TPS-III</t>
  </si>
  <si>
    <t>Korangi Town GTPS-II</t>
  </si>
  <si>
    <t>Site GTPS-II</t>
  </si>
  <si>
    <t>Korangi CCPP</t>
  </si>
  <si>
    <t>Total Thermal (KE Own)</t>
  </si>
  <si>
    <t>F2: Thermal (IPPs connected with KE System)</t>
  </si>
  <si>
    <t>Gul Ahmed</t>
  </si>
  <si>
    <t>Tapal Energy</t>
  </si>
  <si>
    <t>SNPCL-I (IPP-2002)</t>
  </si>
  <si>
    <t>SNPCL-II (IPP-2002)</t>
  </si>
  <si>
    <t>Total Thermal (IPPs KE)</t>
  </si>
  <si>
    <t>F3: Thermal (Others connected with KE System)</t>
  </si>
  <si>
    <t>Anoud Power (IGC)</t>
  </si>
  <si>
    <t>RFO / Gas /</t>
  </si>
  <si>
    <t xml:space="preserve"> DO</t>
  </si>
  <si>
    <t>Intl. Steel Ltd. (CPP)</t>
  </si>
  <si>
    <t>Intl. Ind. Ltd. (CPP)</t>
  </si>
  <si>
    <t>FFBL Power (Distributed Gen.)</t>
  </si>
  <si>
    <t>Imported / Local Coal</t>
  </si>
  <si>
    <t>Lotte Chemicals</t>
  </si>
  <si>
    <t>Lucky Cement</t>
  </si>
  <si>
    <t>Total Thermal (Others connected with KE System)</t>
  </si>
  <si>
    <t>Total Thermal KE (F1+F2+F3)</t>
  </si>
  <si>
    <t>F4: Renewable Energy (connected with KE System)</t>
  </si>
  <si>
    <t>Oursun Pakistan</t>
  </si>
  <si>
    <t>Gharo Solar</t>
  </si>
  <si>
    <t>Total RE (connected with KE System)</t>
  </si>
  <si>
    <t>Total KE (KE own and others connected with KE System)</t>
  </si>
  <si>
    <t>G: SPPs/CPPs/N-CPPs: CPPA-G System</t>
  </si>
  <si>
    <t xml:space="preserve">Total SPPs/CPPs/N-CPPs: CPPA-G System (G) </t>
  </si>
  <si>
    <t>Grand Total (A+B+C+D+E+F+G)</t>
  </si>
  <si>
    <t>Plant Location</t>
  </si>
  <si>
    <t>Type of Power Station</t>
  </si>
  <si>
    <t>Dependable Capacity</t>
  </si>
  <si>
    <t>Tarbela, KPK</t>
  </si>
  <si>
    <t>Reservoir</t>
  </si>
  <si>
    <t>Ghazi Barotha, Punjab</t>
  </si>
  <si>
    <t>Run of River</t>
  </si>
  <si>
    <t>Mangla, AJ&amp;K</t>
  </si>
  <si>
    <t>Warsak, KPK</t>
  </si>
  <si>
    <t>Chashma, Punjab</t>
  </si>
  <si>
    <t>Shangla, KPK</t>
  </si>
  <si>
    <t>Battagram, KPK</t>
  </si>
  <si>
    <t>Jinnah Hydel</t>
  </si>
  <si>
    <t>Mianwali, Punjab</t>
  </si>
  <si>
    <t>Kohistan, KPK</t>
  </si>
  <si>
    <t>Muzaffarabad, AJ&amp;K</t>
  </si>
  <si>
    <t>Chitral, KPK</t>
  </si>
  <si>
    <t>Dargai, KPK</t>
  </si>
  <si>
    <t>Run of Canal</t>
  </si>
  <si>
    <t>Punjab</t>
  </si>
  <si>
    <t>KPK</t>
  </si>
  <si>
    <t>South Waziristan, KPK</t>
  </si>
  <si>
    <t>Malakand, KPK</t>
  </si>
  <si>
    <t>Jagran, AJ&amp;K</t>
  </si>
  <si>
    <t>Hydro</t>
  </si>
  <si>
    <t>Run of River/Canal</t>
  </si>
  <si>
    <t>Swabi, KPK</t>
  </si>
  <si>
    <t>Canal Fall/Run of River</t>
  </si>
  <si>
    <t>Laraib Energy (AJ&amp;K)</t>
  </si>
  <si>
    <t>Jhelum River, AJ&amp;K</t>
  </si>
  <si>
    <t>Garam Chashma</t>
  </si>
  <si>
    <t>Sialkot, Punjab</t>
  </si>
  <si>
    <t>Patrind Hydro (AJ&amp;K)</t>
  </si>
  <si>
    <t>Gulpur Hydropower Project</t>
  </si>
  <si>
    <t>Gulpur, Kotli, AJK</t>
  </si>
  <si>
    <t>Swat, KPK</t>
  </si>
  <si>
    <t>High Head</t>
  </si>
  <si>
    <t>Karot Power Company</t>
  </si>
  <si>
    <t>Karot, Dist Rawalpindi</t>
  </si>
  <si>
    <t>Total Hydel (A1+A2)</t>
  </si>
  <si>
    <t>Jamshoro, Sindh</t>
  </si>
  <si>
    <t>STs</t>
  </si>
  <si>
    <t>Guddu, Sindh</t>
  </si>
  <si>
    <t>GTs+CCPPs</t>
  </si>
  <si>
    <t>GTs+OCPPs</t>
  </si>
  <si>
    <t>GTs+ST+CCPPs</t>
  </si>
  <si>
    <t>TPS Quetta</t>
  </si>
  <si>
    <t>Quetta, Balochistan</t>
  </si>
  <si>
    <t>GT</t>
  </si>
  <si>
    <t>Muzaffargarh, Punjab</t>
  </si>
  <si>
    <t>Faisalabad, Punjab</t>
  </si>
  <si>
    <t>Gujranwala, Punjab</t>
  </si>
  <si>
    <t>FBC Lakhra</t>
  </si>
  <si>
    <t>Lakhra, Sindh</t>
  </si>
  <si>
    <t>Mehmood Kot, Punjab</t>
  </si>
  <si>
    <t>ST</t>
  </si>
  <si>
    <t>Fateh Jang, Punjab</t>
  </si>
  <si>
    <t>GEs</t>
  </si>
  <si>
    <t>Kabirwala, Punjab</t>
  </si>
  <si>
    <t>GTs+CCPP</t>
  </si>
  <si>
    <t>Hub, Balochistan</t>
  </si>
  <si>
    <t>Japan Power</t>
  </si>
  <si>
    <t>Raiwind, Punjab</t>
  </si>
  <si>
    <t>DE</t>
  </si>
  <si>
    <t>Kot Addu, Punjab</t>
  </si>
  <si>
    <t>DEs+ST</t>
  </si>
  <si>
    <t>Sidhnai, Punjab</t>
  </si>
  <si>
    <t>GTs+ST</t>
  </si>
  <si>
    <t>Farooqabad, Punjab</t>
  </si>
  <si>
    <t>Southern Electric</t>
  </si>
  <si>
    <t>DEs</t>
  </si>
  <si>
    <t>Daharki, Sindh</t>
  </si>
  <si>
    <t>Murad Jamali, Balochistan</t>
  </si>
  <si>
    <t>Attock Morgah, Punjab</t>
  </si>
  <si>
    <t>DGs+ST</t>
  </si>
  <si>
    <t>Sheikhupura, Punjab</t>
  </si>
  <si>
    <t>REs+ST</t>
  </si>
  <si>
    <t>Engro Power Gen. Qadirpur</t>
  </si>
  <si>
    <t>Qadirpur, Sindh</t>
  </si>
  <si>
    <t>GT+ST</t>
  </si>
  <si>
    <t>Sahiwal, Punjab</t>
  </si>
  <si>
    <t>Balloki, Punjab</t>
  </si>
  <si>
    <t>Qasur, Punjab</t>
  </si>
  <si>
    <t>Muridke, Punjab</t>
  </si>
  <si>
    <t>Bhikki, Punjab</t>
  </si>
  <si>
    <t>Narowal, Punjab</t>
  </si>
  <si>
    <t>Davis Energen.</t>
  </si>
  <si>
    <t>Jhang, Punjab</t>
  </si>
  <si>
    <t>Huaneng Shandong Ruyi (Sahiwal Imported Coal)</t>
  </si>
  <si>
    <t>GTs+HRSGs+ST</t>
  </si>
  <si>
    <t>NPPMCL (HBS)</t>
  </si>
  <si>
    <t>HBS, Punjab</t>
  </si>
  <si>
    <t>Port Qasim, Sindh</t>
  </si>
  <si>
    <t>ST+CB</t>
  </si>
  <si>
    <t>Reciprocating Engine</t>
  </si>
  <si>
    <t>Gulf Powergen</t>
  </si>
  <si>
    <t>Lasbella, Balochistan</t>
  </si>
  <si>
    <t>Tharparkar, Sindh</t>
  </si>
  <si>
    <t>Bin Qasim Town, Karachi</t>
  </si>
  <si>
    <t>Trimmu, Punjab</t>
  </si>
  <si>
    <t>Total Thermal (IPPs: CPPA-G System)</t>
  </si>
  <si>
    <t>Total Thermal in CPPA-G System (B1+B2)</t>
  </si>
  <si>
    <t>Karachi, Sindh</t>
  </si>
  <si>
    <t>D: Renewable Energy (CPPA-G System)</t>
  </si>
  <si>
    <t xml:space="preserve"> D1: Wind Power Projects</t>
  </si>
  <si>
    <t>Thatta, Sindh</t>
  </si>
  <si>
    <t>WTs</t>
  </si>
  <si>
    <t>D2: Solar Power Projects</t>
  </si>
  <si>
    <t>Bahawalpur, Punjab</t>
  </si>
  <si>
    <t>Khushab, Punjab</t>
  </si>
  <si>
    <t>Layyah, Punjab</t>
  </si>
  <si>
    <t>Sukkur, Sindh</t>
  </si>
  <si>
    <t>Total Solar Projects</t>
  </si>
  <si>
    <t>D3: Bagasse/Biomass Power Projects</t>
  </si>
  <si>
    <t>Rahim Yar Khan, Punjab</t>
  </si>
  <si>
    <t>Bagasse+Biomass</t>
  </si>
  <si>
    <t>Chiniot, Punjab</t>
  </si>
  <si>
    <t>Fatima Energy</t>
  </si>
  <si>
    <t>Biomass/Coal</t>
  </si>
  <si>
    <t>Thal Industries Corporation</t>
  </si>
  <si>
    <t>Total Bagasse/Biomass Projects</t>
  </si>
  <si>
    <t>Total Renewable Energy (D1+D2+D3)(CPPA-G system) (D)</t>
  </si>
  <si>
    <t>E1: Thermal (KE Own)</t>
  </si>
  <si>
    <t>GTs</t>
  </si>
  <si>
    <t>Total KE Own Thermal</t>
  </si>
  <si>
    <t>E2: Thermal (IPPs connected with KE)</t>
  </si>
  <si>
    <t>DE+ST</t>
  </si>
  <si>
    <t>SNPCL-I</t>
  </si>
  <si>
    <t>GEs+STs</t>
  </si>
  <si>
    <t>SNPCL-II</t>
  </si>
  <si>
    <t>Total Thermal (IPPs connected with KE System</t>
  </si>
  <si>
    <t>E3: Thermal (Others connected with KE System)</t>
  </si>
  <si>
    <t>DGs</t>
  </si>
  <si>
    <t>Intl. Steel Limited (CPP)</t>
  </si>
  <si>
    <t>GEs+DGs</t>
  </si>
  <si>
    <t>Intl. Ind. Limited (CPP)</t>
  </si>
  <si>
    <t>GEs+ST</t>
  </si>
  <si>
    <t>CFB+STs</t>
  </si>
  <si>
    <t>Lakki Marwat, KPK</t>
  </si>
  <si>
    <t>Waste Heat Recovery</t>
  </si>
  <si>
    <t>Total Thermal (Others with KE)</t>
  </si>
  <si>
    <t>Total Thermal KE (E1+E2+E3)</t>
  </si>
  <si>
    <t>E4: Renewable Energy (KE System)</t>
  </si>
  <si>
    <t>Net-Metering Import</t>
  </si>
  <si>
    <t>-</t>
  </si>
  <si>
    <t>Total RE (KE System)</t>
  </si>
  <si>
    <t>F: SPPs/CPPs/N-CPPs: CPPA-G System [Contract Capacity (MW)]</t>
  </si>
  <si>
    <t>Total SPPs/CPPs/N-CPPs: CPPA-G System (F)</t>
  </si>
  <si>
    <t>Grand Total (A+B+C+D+E+F)</t>
  </si>
  <si>
    <t>Abbreviation</t>
  </si>
  <si>
    <t>Meaning</t>
  </si>
  <si>
    <t>ST or STs</t>
  </si>
  <si>
    <t>Steam Turbine(s) – Conventional thermal unit using steam to generate electricity.</t>
  </si>
  <si>
    <t>GT or GTs</t>
  </si>
  <si>
    <t>Gas Turbine(s) – Use natural gas or oil to generate electricity directly.</t>
  </si>
  <si>
    <t>Likely Gas Engines – Internal combustion engines running on gas (like reciprocating engines).</t>
  </si>
  <si>
    <t>CCPP</t>
  </si>
  <si>
    <t>Combined Cycle Power Plant – Combines gas turbine + heat recovery + steam turbine.</t>
  </si>
  <si>
    <t>GTs + CCPP</t>
  </si>
  <si>
    <t>Combination of Gas Turbines and Combined Cycle Plants.</t>
  </si>
  <si>
    <t>GTs + HRSGs + ST</t>
  </si>
  <si>
    <t>Gas Turbines + Heat Recovery Steam Generators + Steam Turbines – full combined cycle.</t>
  </si>
  <si>
    <t>DE / DEs</t>
  </si>
  <si>
    <t>Diesel Engine(s) – Reciprocating engines using diesel fuel.</t>
  </si>
  <si>
    <t>Diesel Generators – Often same as DEs, with generator mounted.</t>
  </si>
  <si>
    <t>REs</t>
  </si>
  <si>
    <t>Reciprocating Engines – Piston-based engines (can be diesel or gas-fueled).</t>
  </si>
  <si>
    <t>ST + CB</t>
  </si>
  <si>
    <t>Steam Turbine with Condensing Boiler – a steam turbine supported by a dedicated boiler.</t>
  </si>
  <si>
    <t>GTs + ST</t>
  </si>
  <si>
    <t>Combination of Gas Turbines and Steam Turbines – often a simplified combined cycle setup.</t>
  </si>
  <si>
    <t>DEs + ST</t>
  </si>
  <si>
    <t>Diesel Engines and Steam Turbines – hybrid setup possibly using waste heat recovery.</t>
  </si>
  <si>
    <t>Same as RE – piston-based internal combustion engine.</t>
  </si>
  <si>
    <t>As noted, likely Gas Engines – similar to REs but gas-fueled.</t>
  </si>
  <si>
    <t>R12_PAK</t>
  </si>
  <si>
    <t>hydro_hc</t>
  </si>
  <si>
    <t>2020</t>
  </si>
  <si>
    <t>M1</t>
  </si>
  <si>
    <t>year</t>
  </si>
  <si>
    <t>GWa</t>
  </si>
  <si>
    <t>hydro_lc</t>
  </si>
  <si>
    <t>GWh</t>
  </si>
  <si>
    <t>ratios</t>
  </si>
  <si>
    <t>from actual total</t>
  </si>
  <si>
    <t>actual</t>
  </si>
  <si>
    <t>gas_cc</t>
  </si>
  <si>
    <t>2015</t>
  </si>
  <si>
    <t>gas_ct</t>
  </si>
  <si>
    <t>gas_ppl</t>
  </si>
  <si>
    <t>elec_imp_asia</t>
  </si>
  <si>
    <t>wind_res_hist_2010</t>
  </si>
  <si>
    <t>2025</t>
  </si>
  <si>
    <t>wind_res_hist_2015</t>
  </si>
  <si>
    <t>wind_res_hist_2020</t>
  </si>
  <si>
    <t>wind_res_hist_2025</t>
  </si>
  <si>
    <t>coal</t>
  </si>
  <si>
    <t>gas</t>
  </si>
  <si>
    <t>oil</t>
  </si>
  <si>
    <t>steam turbine</t>
  </si>
  <si>
    <t>gas engine</t>
  </si>
  <si>
    <t>gas turbine</t>
  </si>
  <si>
    <t>diesel engine</t>
  </si>
  <si>
    <t>diesel generator</t>
  </si>
  <si>
    <t>reciprocating engine</t>
  </si>
  <si>
    <t>Heat Recovery Steam Generators</t>
  </si>
  <si>
    <t>Condensing Boiler</t>
  </si>
  <si>
    <t>COAL</t>
  </si>
  <si>
    <t>GAS</t>
  </si>
  <si>
    <t>OIL</t>
  </si>
  <si>
    <t>THERMAL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</si>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</sst>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name val="Arial"/>
    </font>
    <font>
      <b/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45E1CE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7" xfId="0" applyFont="1" applyBorder="1"/>
    <xf numFmtId="4" fontId="3" fillId="0" borderId="7" xfId="0" applyNumberFormat="1" applyFont="1" applyBorder="1"/>
    <xf numFmtId="0" fontId="2" fillId="4" borderId="7" xfId="0" applyFont="1" applyFill="1" applyBorder="1"/>
    <xf numFmtId="4" fontId="2" fillId="4" borderId="7" xfId="0" applyNumberFormat="1" applyFont="1" applyFill="1" applyBorder="1"/>
    <xf numFmtId="0" fontId="3" fillId="4" borderId="7" xfId="0" applyFont="1" applyFill="1" applyBorder="1"/>
    <xf numFmtId="4" fontId="3" fillId="4" borderId="7" xfId="0" applyNumberFormat="1" applyFont="1" applyFill="1" applyBorder="1"/>
    <xf numFmtId="0" fontId="2" fillId="5" borderId="7" xfId="0" applyFont="1" applyFill="1" applyBorder="1"/>
    <xf numFmtId="4" fontId="2" fillId="5" borderId="7" xfId="0" applyNumberFormat="1" applyFont="1" applyFill="1" applyBorder="1"/>
    <xf numFmtId="0" fontId="2" fillId="6" borderId="7" xfId="0" applyFont="1" applyFill="1" applyBorder="1"/>
    <xf numFmtId="4" fontId="2" fillId="6" borderId="7" xfId="0" applyNumberFormat="1" applyFont="1" applyFill="1" applyBorder="1"/>
    <xf numFmtId="0" fontId="2" fillId="7" borderId="7" xfId="0" applyFont="1" applyFill="1" applyBorder="1"/>
    <xf numFmtId="4" fontId="2" fillId="7" borderId="7" xfId="0" applyNumberFormat="1" applyFont="1" applyFill="1" applyBorder="1"/>
    <xf numFmtId="0" fontId="2" fillId="8" borderId="7" xfId="0" applyFont="1" applyFill="1" applyBorder="1"/>
    <xf numFmtId="4" fontId="2" fillId="8" borderId="7" xfId="0" applyNumberFormat="1" applyFont="1" applyFill="1" applyBorder="1"/>
    <xf numFmtId="0" fontId="8" fillId="0" borderId="7" xfId="0" applyFont="1" applyBorder="1"/>
    <xf numFmtId="0" fontId="8" fillId="0" borderId="7" xfId="0" applyFont="1" applyBorder="1" applyAlignment="1">
      <alignment horizontal="right"/>
    </xf>
    <xf numFmtId="0" fontId="6" fillId="4" borderId="7" xfId="0" applyFont="1" applyFill="1" applyBorder="1"/>
    <xf numFmtId="0" fontId="5" fillId="4" borderId="7" xfId="0" applyFont="1" applyFill="1" applyBorder="1"/>
    <xf numFmtId="3" fontId="5" fillId="4" borderId="7" xfId="0" applyNumberFormat="1" applyFont="1" applyFill="1" applyBorder="1" applyAlignment="1">
      <alignment horizontal="right"/>
    </xf>
    <xf numFmtId="0" fontId="6" fillId="5" borderId="7" xfId="0" applyFont="1" applyFill="1" applyBorder="1"/>
    <xf numFmtId="3" fontId="6" fillId="5" borderId="7" xfId="0" applyNumberFormat="1" applyFont="1" applyFill="1" applyBorder="1"/>
    <xf numFmtId="0" fontId="9" fillId="0" borderId="7" xfId="0" applyFont="1" applyBorder="1"/>
    <xf numFmtId="0" fontId="9" fillId="4" borderId="7" xfId="0" applyFont="1" applyFill="1" applyBorder="1"/>
    <xf numFmtId="0" fontId="9" fillId="5" borderId="7" xfId="0" applyFont="1" applyFill="1" applyBorder="1"/>
    <xf numFmtId="0" fontId="6" fillId="7" borderId="7" xfId="0" applyFont="1" applyFill="1" applyBorder="1"/>
    <xf numFmtId="0" fontId="11" fillId="0" borderId="7" xfId="0" applyFont="1" applyBorder="1"/>
    <xf numFmtId="0" fontId="5" fillId="3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0" fillId="3" borderId="7" xfId="0" applyFont="1" applyFill="1" applyBorder="1" applyAlignment="1">
      <alignment horizontal="left"/>
    </xf>
    <xf numFmtId="4" fontId="0" fillId="0" borderId="0" xfId="0" applyNumberForma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2" fillId="3" borderId="8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2" fillId="0" borderId="8" xfId="0" applyFont="1" applyBorder="1" applyAlignment="1">
      <alignment horizontal="center"/>
    </xf>
    <xf numFmtId="0" fontId="3" fillId="0" borderId="8" xfId="0" applyFont="1" applyBorder="1"/>
    <xf numFmtId="0" fontId="2" fillId="4" borderId="8" xfId="0" applyFont="1" applyFill="1" applyBorder="1"/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3" borderId="0" xfId="0" applyFont="1" applyFill="1" applyAlignment="1">
      <alignment horizontal="center"/>
    </xf>
    <xf numFmtId="0" fontId="0" fillId="0" borderId="0" xfId="0"/>
    <xf numFmtId="0" fontId="2" fillId="5" borderId="8" xfId="0" applyFont="1" applyFill="1" applyBorder="1"/>
    <xf numFmtId="0" fontId="11" fillId="13" borderId="8" xfId="0" applyFont="1" applyFill="1" applyBorder="1"/>
    <xf numFmtId="0" fontId="7" fillId="13" borderId="9" xfId="0" applyFont="1" applyFill="1" applyBorder="1"/>
    <xf numFmtId="0" fontId="7" fillId="13" borderId="10" xfId="0" applyFont="1" applyFill="1" applyBorder="1"/>
    <xf numFmtId="0" fontId="11" fillId="11" borderId="8" xfId="0" applyFont="1" applyFill="1" applyBorder="1"/>
    <xf numFmtId="0" fontId="7" fillId="11" borderId="9" xfId="0" applyFont="1" applyFill="1" applyBorder="1"/>
    <xf numFmtId="0" fontId="7" fillId="11" borderId="10" xfId="0" applyFont="1" applyFill="1" applyBorder="1"/>
    <xf numFmtId="0" fontId="11" fillId="11" borderId="8" xfId="0" applyFont="1" applyFill="1" applyBorder="1" applyAlignment="1">
      <alignment horizontal="left"/>
    </xf>
    <xf numFmtId="0" fontId="11" fillId="11" borderId="9" xfId="0" applyFont="1" applyFill="1" applyBorder="1" applyAlignment="1">
      <alignment horizontal="left"/>
    </xf>
    <xf numFmtId="0" fontId="11" fillId="11" borderId="10" xfId="0" applyFont="1" applyFill="1" applyBorder="1" applyAlignment="1">
      <alignment horizontal="left"/>
    </xf>
    <xf numFmtId="0" fontId="11" fillId="13" borderId="8" xfId="0" applyFont="1" applyFill="1" applyBorder="1" applyAlignment="1">
      <alignment horizontal="left"/>
    </xf>
    <xf numFmtId="0" fontId="11" fillId="13" borderId="9" xfId="0" applyFont="1" applyFill="1" applyBorder="1" applyAlignment="1">
      <alignment horizontal="left"/>
    </xf>
    <xf numFmtId="0" fontId="11" fillId="13" borderId="10" xfId="0" applyFont="1" applyFill="1" applyBorder="1" applyAlignment="1">
      <alignment horizontal="left"/>
    </xf>
    <xf numFmtId="0" fontId="6" fillId="3" borderId="13" xfId="0" applyFont="1" applyFill="1" applyBorder="1" applyAlignment="1">
      <alignment horizontal="center"/>
    </xf>
    <xf numFmtId="0" fontId="7" fillId="0" borderId="14" xfId="0" applyFont="1" applyBorder="1"/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6" xfId="0" applyFont="1" applyBorder="1"/>
    <xf numFmtId="0" fontId="7" fillId="0" borderId="11" xfId="0" applyFont="1" applyBorder="1"/>
    <xf numFmtId="0" fontId="7" fillId="0" borderId="12" xfId="0" applyFont="1" applyBorder="1"/>
    <xf numFmtId="0" fontId="10" fillId="3" borderId="8" xfId="0" applyFont="1" applyFill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11" fillId="12" borderId="8" xfId="0" applyFont="1" applyFill="1" applyBorder="1"/>
    <xf numFmtId="0" fontId="7" fillId="12" borderId="9" xfId="0" applyFont="1" applyFill="1" applyBorder="1"/>
    <xf numFmtId="0" fontId="7" fillId="12" borderId="10" xfId="0" applyFont="1" applyFill="1" applyBorder="1"/>
    <xf numFmtId="0" fontId="6" fillId="3" borderId="8" xfId="0" applyFont="1" applyFill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6" fillId="0" borderId="11" xfId="0" applyFont="1" applyBorder="1" applyAlignment="1">
      <alignment horizontal="center"/>
    </xf>
    <xf numFmtId="0" fontId="6" fillId="4" borderId="8" xfId="0" applyFont="1" applyFill="1" applyBorder="1"/>
    <xf numFmtId="0" fontId="0" fillId="14" borderId="0" xfId="0" applyFill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E1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6D3C-43E0-4B72-A7BD-403A56B73688}">
  <dimension ref="B2:J77"/>
  <sheetViews>
    <sheetView topLeftCell="A43" workbookViewId="0">
      <selection activeCell="R61" sqref="R61"/>
    </sheetView>
  </sheetViews>
  <sheetFormatPr defaultRowHeight="14.25" x14ac:dyDescent="0.45"/>
  <sheetData>
    <row r="2" spans="2:10" x14ac:dyDescent="0.45">
      <c r="B2" s="81" t="s">
        <v>438</v>
      </c>
    </row>
    <row r="3" spans="2:10" x14ac:dyDescent="0.45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3" t="s">
        <v>7</v>
      </c>
    </row>
    <row r="4" spans="2:10" x14ac:dyDescent="0.45">
      <c r="C4" s="4" t="s">
        <v>91</v>
      </c>
      <c r="D4" s="42" t="s">
        <v>92</v>
      </c>
      <c r="E4" s="40"/>
      <c r="F4" s="5">
        <v>6167.19</v>
      </c>
      <c r="G4" s="5">
        <v>7342.7</v>
      </c>
      <c r="H4" s="5">
        <v>6881.38</v>
      </c>
      <c r="I4" s="5">
        <v>2876.85</v>
      </c>
      <c r="J4" s="5">
        <v>2075.5500000000002</v>
      </c>
    </row>
    <row r="5" spans="2:10" x14ac:dyDescent="0.45">
      <c r="C5" s="4" t="s">
        <v>97</v>
      </c>
      <c r="D5" s="4" t="s">
        <v>98</v>
      </c>
      <c r="E5" s="4"/>
      <c r="F5" s="5">
        <v>8969.74</v>
      </c>
      <c r="G5" s="5">
        <v>8372.3799999999992</v>
      </c>
      <c r="H5" s="5">
        <v>7478.64</v>
      </c>
      <c r="I5" s="5">
        <v>3203</v>
      </c>
      <c r="J5" s="4">
        <v>782.26</v>
      </c>
    </row>
    <row r="6" spans="2:10" x14ac:dyDescent="0.45">
      <c r="C6" s="4" t="s">
        <v>101</v>
      </c>
      <c r="D6" s="42" t="s">
        <v>102</v>
      </c>
      <c r="E6" s="40"/>
      <c r="F6" s="5">
        <v>6136.2</v>
      </c>
      <c r="G6" s="5">
        <v>7923.41</v>
      </c>
      <c r="H6" s="5">
        <v>6764.89</v>
      </c>
      <c r="I6" s="5">
        <v>1546.82</v>
      </c>
      <c r="J6" s="4">
        <v>476.55</v>
      </c>
    </row>
    <row r="7" spans="2:10" x14ac:dyDescent="0.45">
      <c r="C7" s="4" t="s">
        <v>103</v>
      </c>
      <c r="D7" s="42" t="s">
        <v>104</v>
      </c>
      <c r="E7" s="40"/>
      <c r="F7" s="5">
        <v>4280.22</v>
      </c>
      <c r="G7" s="5">
        <v>3909.3</v>
      </c>
      <c r="H7" s="5">
        <v>3676.95</v>
      </c>
      <c r="I7" s="5">
        <v>3646.06</v>
      </c>
      <c r="J7" s="5">
        <v>3766.21</v>
      </c>
    </row>
    <row r="8" spans="2:10" x14ac:dyDescent="0.45">
      <c r="C8" s="4" t="s">
        <v>105</v>
      </c>
      <c r="D8" s="42" t="s">
        <v>106</v>
      </c>
      <c r="E8" s="40"/>
      <c r="F8" s="4" t="s">
        <v>44</v>
      </c>
      <c r="G8" s="4" t="s">
        <v>44</v>
      </c>
      <c r="H8" s="5">
        <v>1774.1</v>
      </c>
      <c r="I8" s="5">
        <v>3316.14</v>
      </c>
      <c r="J8" s="5">
        <v>1688.68</v>
      </c>
    </row>
    <row r="9" spans="2:10" x14ac:dyDescent="0.45">
      <c r="C9" s="4" t="s">
        <v>108</v>
      </c>
      <c r="D9" s="4" t="s">
        <v>104</v>
      </c>
      <c r="E9" s="4"/>
      <c r="F9" s="4" t="s">
        <v>44</v>
      </c>
      <c r="G9" s="4" t="s">
        <v>44</v>
      </c>
      <c r="H9" s="4" t="s">
        <v>44</v>
      </c>
      <c r="I9" s="5">
        <v>1205.57</v>
      </c>
      <c r="J9" s="5">
        <v>1948.5</v>
      </c>
    </row>
    <row r="10" spans="2:10" x14ac:dyDescent="0.45">
      <c r="C10" s="4" t="s">
        <v>109</v>
      </c>
      <c r="D10" s="42" t="s">
        <v>104</v>
      </c>
      <c r="E10" s="40"/>
      <c r="F10" s="4" t="s">
        <v>44</v>
      </c>
      <c r="G10" s="4" t="s">
        <v>44</v>
      </c>
      <c r="H10" s="4" t="s">
        <v>44</v>
      </c>
      <c r="I10" s="5">
        <v>4255.92</v>
      </c>
      <c r="J10" s="5">
        <v>7500.33</v>
      </c>
    </row>
    <row r="11" spans="2:10" x14ac:dyDescent="0.45">
      <c r="C11" s="4" t="s">
        <v>110</v>
      </c>
      <c r="D11" s="42" t="s">
        <v>104</v>
      </c>
      <c r="E11" s="40"/>
      <c r="F11" s="4" t="s">
        <v>44</v>
      </c>
      <c r="G11" s="4" t="s">
        <v>44</v>
      </c>
      <c r="H11" s="4" t="s">
        <v>44</v>
      </c>
      <c r="I11" s="4">
        <v>923.53</v>
      </c>
      <c r="J11" s="5">
        <v>1979.84</v>
      </c>
    </row>
    <row r="12" spans="2:10" x14ac:dyDescent="0.45">
      <c r="C12" s="4" t="s">
        <v>217</v>
      </c>
      <c r="D12" s="4" t="s">
        <v>218</v>
      </c>
      <c r="E12" s="4"/>
      <c r="F12" s="4">
        <v>412.91</v>
      </c>
      <c r="G12" s="4">
        <v>452.88</v>
      </c>
      <c r="H12" s="4">
        <v>406.69</v>
      </c>
      <c r="I12" s="4">
        <v>346.26</v>
      </c>
      <c r="J12" s="4">
        <v>324.54000000000002</v>
      </c>
    </row>
    <row r="13" spans="2:10" x14ac:dyDescent="0.45">
      <c r="F13" s="33">
        <f>SUM(F4:F12)</f>
        <v>25966.260000000002</v>
      </c>
      <c r="G13" s="33">
        <f t="shared" ref="G13:J13" si="0">SUM(G4:G12)</f>
        <v>28000.67</v>
      </c>
      <c r="H13" s="33">
        <f t="shared" si="0"/>
        <v>26982.649999999998</v>
      </c>
      <c r="I13" s="33">
        <f t="shared" si="0"/>
        <v>21320.149999999998</v>
      </c>
      <c r="J13" s="33">
        <f t="shared" si="0"/>
        <v>20542.460000000003</v>
      </c>
    </row>
    <row r="15" spans="2:10" x14ac:dyDescent="0.45">
      <c r="B15" s="82" t="s">
        <v>439</v>
      </c>
    </row>
    <row r="16" spans="2:10" x14ac:dyDescent="0.45">
      <c r="C16" s="1" t="s">
        <v>0</v>
      </c>
      <c r="D16" s="2" t="s">
        <v>1</v>
      </c>
      <c r="E16" s="2" t="s">
        <v>2</v>
      </c>
      <c r="F16" s="2" t="s">
        <v>3</v>
      </c>
      <c r="G16" s="2" t="s">
        <v>4</v>
      </c>
      <c r="H16" s="2" t="s">
        <v>5</v>
      </c>
      <c r="I16" s="2" t="s">
        <v>6</v>
      </c>
      <c r="J16" s="3" t="s">
        <v>7</v>
      </c>
    </row>
    <row r="17" spans="3:10" x14ac:dyDescent="0.45">
      <c r="C17" s="4" t="s">
        <v>53</v>
      </c>
      <c r="D17" s="4" t="s">
        <v>54</v>
      </c>
      <c r="E17" s="4"/>
      <c r="F17" s="5">
        <v>1294.8399999999999</v>
      </c>
      <c r="G17" s="5">
        <v>1477.11</v>
      </c>
      <c r="H17" s="5">
        <v>1385.84</v>
      </c>
      <c r="I17" s="5">
        <v>1948.96</v>
      </c>
      <c r="J17" s="4">
        <v>341.73</v>
      </c>
    </row>
    <row r="18" spans="3:10" x14ac:dyDescent="0.45">
      <c r="C18" s="4" t="s">
        <v>55</v>
      </c>
      <c r="D18" s="4" t="s">
        <v>54</v>
      </c>
      <c r="E18" s="4"/>
      <c r="F18" s="4">
        <v>311.56</v>
      </c>
      <c r="G18" s="4">
        <v>223.96</v>
      </c>
      <c r="H18" s="4">
        <v>148.16</v>
      </c>
      <c r="I18" s="4">
        <v>19.420000000000002</v>
      </c>
      <c r="J18" s="4">
        <v>0</v>
      </c>
    </row>
    <row r="19" spans="3:10" x14ac:dyDescent="0.45">
      <c r="C19" s="4" t="s">
        <v>56</v>
      </c>
      <c r="D19" s="4" t="s">
        <v>57</v>
      </c>
      <c r="E19" s="4" t="s">
        <v>58</v>
      </c>
      <c r="F19" s="5">
        <v>4315.3500000000004</v>
      </c>
      <c r="G19" s="5">
        <v>3123.82</v>
      </c>
      <c r="H19" s="5">
        <v>2609.9499999999998</v>
      </c>
      <c r="I19" s="5">
        <v>2635.92</v>
      </c>
      <c r="J19" s="5">
        <v>2209.13</v>
      </c>
    </row>
    <row r="20" spans="3:10" x14ac:dyDescent="0.45">
      <c r="C20" s="4" t="s">
        <v>59</v>
      </c>
      <c r="D20" s="4" t="s">
        <v>57</v>
      </c>
      <c r="E20" s="4" t="s">
        <v>52</v>
      </c>
      <c r="F20" s="4">
        <v>299.86</v>
      </c>
      <c r="G20" s="4">
        <v>282.26</v>
      </c>
      <c r="H20" s="4">
        <v>220.43</v>
      </c>
      <c r="I20" s="4">
        <v>50.91</v>
      </c>
      <c r="J20" s="4">
        <v>15.23</v>
      </c>
    </row>
    <row r="21" spans="3:10" x14ac:dyDescent="0.45">
      <c r="C21" s="4" t="s">
        <v>60</v>
      </c>
      <c r="D21" s="4" t="s">
        <v>57</v>
      </c>
      <c r="E21" s="4" t="s">
        <v>58</v>
      </c>
      <c r="F21" s="4">
        <v>0</v>
      </c>
      <c r="G21" s="4">
        <v>14.26</v>
      </c>
      <c r="H21" s="4">
        <v>98.83</v>
      </c>
      <c r="I21" s="4">
        <v>0</v>
      </c>
      <c r="J21" s="4">
        <v>0</v>
      </c>
    </row>
    <row r="22" spans="3:10" x14ac:dyDescent="0.45">
      <c r="C22" s="4" t="s">
        <v>61</v>
      </c>
      <c r="D22" s="4" t="s">
        <v>57</v>
      </c>
      <c r="E22" s="4" t="s">
        <v>58</v>
      </c>
      <c r="F22" s="5">
        <v>1476.33</v>
      </c>
      <c r="G22" s="5">
        <v>1481.98</v>
      </c>
      <c r="H22" s="5">
        <v>1640.82</v>
      </c>
      <c r="I22" s="5">
        <v>1276.42</v>
      </c>
      <c r="J22" s="4">
        <v>923.5</v>
      </c>
    </row>
    <row r="23" spans="3:10" x14ac:dyDescent="0.45">
      <c r="C23" s="4" t="s">
        <v>66</v>
      </c>
      <c r="D23" s="4" t="s">
        <v>54</v>
      </c>
      <c r="E23" s="4"/>
      <c r="F23" s="4">
        <v>3.73</v>
      </c>
      <c r="G23" s="4">
        <v>12.4</v>
      </c>
      <c r="H23" s="4">
        <v>0</v>
      </c>
      <c r="I23" s="4">
        <v>0</v>
      </c>
      <c r="J23" s="4">
        <v>0</v>
      </c>
    </row>
    <row r="24" spans="3:10" x14ac:dyDescent="0.45">
      <c r="C24" s="4" t="s">
        <v>67</v>
      </c>
      <c r="D24" s="4" t="s">
        <v>54</v>
      </c>
      <c r="E24" s="4" t="s">
        <v>58</v>
      </c>
      <c r="F24" s="4">
        <v>346.32</v>
      </c>
      <c r="G24" s="4">
        <v>389.96</v>
      </c>
      <c r="H24" s="4">
        <v>357.21</v>
      </c>
      <c r="I24" s="4">
        <v>66.33</v>
      </c>
      <c r="J24" s="4">
        <v>92.01</v>
      </c>
    </row>
    <row r="25" spans="3:10" x14ac:dyDescent="0.45">
      <c r="C25" s="4" t="s">
        <v>68</v>
      </c>
      <c r="D25" s="4" t="s">
        <v>54</v>
      </c>
      <c r="E25" s="4" t="s">
        <v>58</v>
      </c>
      <c r="F25" s="4">
        <v>108.37</v>
      </c>
      <c r="G25" s="4">
        <v>0</v>
      </c>
      <c r="H25" s="4">
        <v>0</v>
      </c>
      <c r="I25" s="4">
        <v>0</v>
      </c>
      <c r="J25" s="4">
        <v>0</v>
      </c>
    </row>
    <row r="26" spans="3:10" x14ac:dyDescent="0.45">
      <c r="C26" s="4" t="s">
        <v>70</v>
      </c>
      <c r="D26" s="4" t="s">
        <v>54</v>
      </c>
      <c r="E26" s="4" t="s">
        <v>71</v>
      </c>
      <c r="F26" s="4">
        <v>3476.67</v>
      </c>
      <c r="G26" s="4">
        <v>3562.24</v>
      </c>
      <c r="H26" s="4">
        <v>5142</v>
      </c>
      <c r="I26" s="4">
        <v>587.84</v>
      </c>
      <c r="J26" s="4">
        <v>0</v>
      </c>
    </row>
    <row r="27" spans="3:10" x14ac:dyDescent="0.45">
      <c r="C27" s="4" t="s">
        <v>73</v>
      </c>
      <c r="D27" s="4" t="s">
        <v>54</v>
      </c>
      <c r="E27" s="4" t="s">
        <v>58</v>
      </c>
      <c r="F27" s="4">
        <v>217.53</v>
      </c>
      <c r="G27" s="4">
        <v>284.36</v>
      </c>
      <c r="H27" s="4">
        <v>495.78</v>
      </c>
      <c r="I27" s="4">
        <v>179.04</v>
      </c>
      <c r="J27" s="4">
        <v>9.7100000000000009</v>
      </c>
    </row>
    <row r="28" spans="3:10" x14ac:dyDescent="0.45">
      <c r="C28" s="4" t="s">
        <v>75</v>
      </c>
      <c r="D28" s="4" t="s">
        <v>54</v>
      </c>
      <c r="E28" s="4" t="s">
        <v>58</v>
      </c>
      <c r="F28" s="4">
        <v>896.74</v>
      </c>
      <c r="G28" s="4">
        <v>983.33</v>
      </c>
      <c r="H28" s="4">
        <v>1054.06</v>
      </c>
      <c r="I28" s="4">
        <v>1001.19</v>
      </c>
      <c r="J28" s="4">
        <v>903.87</v>
      </c>
    </row>
    <row r="29" spans="3:10" x14ac:dyDescent="0.45">
      <c r="C29" s="4" t="s">
        <v>76</v>
      </c>
      <c r="D29" s="4" t="s">
        <v>54</v>
      </c>
      <c r="E29" s="4" t="s">
        <v>58</v>
      </c>
      <c r="F29" s="4">
        <v>4087.33</v>
      </c>
      <c r="G29" s="4">
        <v>4088.44</v>
      </c>
      <c r="H29" s="4">
        <v>4300.5200000000004</v>
      </c>
      <c r="I29" s="4">
        <v>3901.33</v>
      </c>
      <c r="J29" s="4">
        <v>3965.85</v>
      </c>
    </row>
    <row r="30" spans="3:10" x14ac:dyDescent="0.45">
      <c r="C30" s="4" t="s">
        <v>79</v>
      </c>
      <c r="D30" s="4" t="s">
        <v>54</v>
      </c>
      <c r="E30" s="4" t="s">
        <v>58</v>
      </c>
      <c r="F30" s="4">
        <v>700.74</v>
      </c>
      <c r="G30" s="4">
        <v>648.5</v>
      </c>
      <c r="H30" s="4">
        <v>791.03</v>
      </c>
      <c r="I30" s="4">
        <v>935.42</v>
      </c>
      <c r="J30" s="4">
        <v>813.48</v>
      </c>
    </row>
    <row r="31" spans="3:10" x14ac:dyDescent="0.45">
      <c r="C31" s="4" t="s">
        <v>80</v>
      </c>
      <c r="D31" s="4" t="s">
        <v>54</v>
      </c>
      <c r="E31" s="4" t="s">
        <v>58</v>
      </c>
      <c r="F31" s="4">
        <v>476.28</v>
      </c>
      <c r="G31" s="4">
        <v>639.4</v>
      </c>
      <c r="H31" s="4">
        <v>734.99</v>
      </c>
      <c r="I31" s="4">
        <v>538.22</v>
      </c>
      <c r="J31" s="4">
        <v>220.59</v>
      </c>
    </row>
    <row r="32" spans="3:10" x14ac:dyDescent="0.45">
      <c r="C32" s="4" t="s">
        <v>81</v>
      </c>
      <c r="D32" s="4" t="s">
        <v>54</v>
      </c>
      <c r="E32" s="4" t="s">
        <v>58</v>
      </c>
      <c r="F32" s="4">
        <v>338</v>
      </c>
      <c r="G32" s="4">
        <v>597.91999999999996</v>
      </c>
      <c r="H32" s="4">
        <v>836.38</v>
      </c>
      <c r="I32" s="4">
        <v>604.79</v>
      </c>
      <c r="J32" s="4">
        <v>541.20000000000005</v>
      </c>
    </row>
    <row r="33" spans="3:10" x14ac:dyDescent="0.45">
      <c r="C33" s="4" t="s">
        <v>84</v>
      </c>
      <c r="D33" s="4" t="s">
        <v>54</v>
      </c>
      <c r="E33" s="4" t="s">
        <v>58</v>
      </c>
      <c r="F33" s="4">
        <v>296.76</v>
      </c>
      <c r="G33" s="4">
        <v>568.04</v>
      </c>
      <c r="H33" s="4">
        <v>780.5</v>
      </c>
      <c r="I33" s="4">
        <v>452.52</v>
      </c>
      <c r="J33" s="4">
        <v>479.36</v>
      </c>
    </row>
    <row r="34" spans="3:10" x14ac:dyDescent="0.45">
      <c r="C34" s="4" t="s">
        <v>85</v>
      </c>
      <c r="D34" s="4" t="s">
        <v>54</v>
      </c>
      <c r="E34" s="4" t="s">
        <v>58</v>
      </c>
      <c r="F34" s="4">
        <v>347.69</v>
      </c>
      <c r="G34" s="4">
        <v>509.79</v>
      </c>
      <c r="H34" s="4">
        <v>675.93</v>
      </c>
      <c r="I34" s="4">
        <v>287.05</v>
      </c>
      <c r="J34" s="4">
        <v>207.55</v>
      </c>
    </row>
    <row r="35" spans="3:10" x14ac:dyDescent="0.45">
      <c r="C35" s="4" t="s">
        <v>88</v>
      </c>
      <c r="D35" s="4" t="s">
        <v>54</v>
      </c>
      <c r="E35" s="4"/>
      <c r="F35" s="4">
        <v>777.3</v>
      </c>
      <c r="G35" s="5">
        <v>1000.37</v>
      </c>
      <c r="H35" s="5">
        <v>1272.8900000000001</v>
      </c>
      <c r="I35" s="5">
        <v>1190.3800000000001</v>
      </c>
      <c r="J35" s="5">
        <v>1087.56</v>
      </c>
    </row>
    <row r="36" spans="3:10" x14ac:dyDescent="0.45">
      <c r="C36" s="4" t="s">
        <v>89</v>
      </c>
      <c r="D36" s="4" t="s">
        <v>90</v>
      </c>
      <c r="E36" s="4"/>
      <c r="F36" s="5">
        <v>2148.02</v>
      </c>
      <c r="G36" s="5">
        <v>2339.37</v>
      </c>
      <c r="H36" s="5">
        <v>2828.67</v>
      </c>
      <c r="I36" s="5">
        <v>2776.43</v>
      </c>
      <c r="J36" s="5">
        <v>2025.72</v>
      </c>
    </row>
    <row r="37" spans="3:10" x14ac:dyDescent="0.45">
      <c r="C37" s="4" t="s">
        <v>93</v>
      </c>
      <c r="D37" s="4" t="s">
        <v>94</v>
      </c>
      <c r="E37" s="4" t="s">
        <v>58</v>
      </c>
      <c r="F37" s="5">
        <v>5192.5</v>
      </c>
      <c r="G37" s="5">
        <v>7118.8</v>
      </c>
      <c r="H37" s="5">
        <v>6090.92</v>
      </c>
      <c r="I37" s="5">
        <v>4697.55</v>
      </c>
      <c r="J37" s="5">
        <v>3660.15</v>
      </c>
    </row>
    <row r="38" spans="3:10" x14ac:dyDescent="0.45">
      <c r="C38" s="4" t="s">
        <v>95</v>
      </c>
      <c r="D38" s="4" t="s">
        <v>94</v>
      </c>
      <c r="E38" s="4" t="s">
        <v>58</v>
      </c>
      <c r="F38" s="5">
        <v>7050.34</v>
      </c>
      <c r="G38" s="5">
        <v>7682.35</v>
      </c>
      <c r="H38" s="5">
        <v>7488.57</v>
      </c>
      <c r="I38" s="5">
        <v>6520.55</v>
      </c>
      <c r="J38" s="5">
        <v>7930.78</v>
      </c>
    </row>
    <row r="39" spans="3:10" x14ac:dyDescent="0.45">
      <c r="C39" s="4" t="s">
        <v>96</v>
      </c>
      <c r="D39" s="4" t="s">
        <v>94</v>
      </c>
      <c r="E39" s="4" t="s">
        <v>58</v>
      </c>
      <c r="F39" s="5">
        <v>5911.84</v>
      </c>
      <c r="G39" s="5">
        <v>6032.81</v>
      </c>
      <c r="H39" s="5">
        <v>7186.71</v>
      </c>
      <c r="I39" s="5">
        <v>6863.66</v>
      </c>
      <c r="J39" s="5">
        <v>6684.63</v>
      </c>
    </row>
    <row r="40" spans="3:10" x14ac:dyDescent="0.45">
      <c r="C40" s="4" t="s">
        <v>107</v>
      </c>
      <c r="D40" s="42" t="s">
        <v>94</v>
      </c>
      <c r="E40" s="40"/>
      <c r="F40" s="4" t="s">
        <v>44</v>
      </c>
      <c r="G40" s="4" t="s">
        <v>44</v>
      </c>
      <c r="H40" s="4">
        <v>77.56</v>
      </c>
      <c r="I40" s="4">
        <v>152.62</v>
      </c>
      <c r="J40" s="5">
        <v>3197.29</v>
      </c>
    </row>
    <row r="41" spans="3:10" x14ac:dyDescent="0.45">
      <c r="C41" s="4" t="s">
        <v>196</v>
      </c>
      <c r="D41" s="4" t="s">
        <v>197</v>
      </c>
      <c r="E41" s="4" t="s">
        <v>198</v>
      </c>
      <c r="F41" s="5">
        <v>3824.66</v>
      </c>
      <c r="G41" s="5">
        <v>4730</v>
      </c>
      <c r="H41" s="5">
        <v>3289.1</v>
      </c>
      <c r="I41" s="5">
        <v>1851.7</v>
      </c>
      <c r="J41" s="4">
        <v>622.22</v>
      </c>
    </row>
    <row r="42" spans="3:10" x14ac:dyDescent="0.45">
      <c r="C42" s="4" t="s">
        <v>199</v>
      </c>
      <c r="D42" s="4" t="s">
        <v>197</v>
      </c>
      <c r="E42" s="4" t="s">
        <v>198</v>
      </c>
      <c r="F42" s="5">
        <v>4030.54</v>
      </c>
      <c r="G42" s="5">
        <v>3926</v>
      </c>
      <c r="H42" s="5">
        <v>3587.52</v>
      </c>
      <c r="I42" s="5">
        <v>2634.48</v>
      </c>
      <c r="J42" s="5">
        <v>2557.08</v>
      </c>
    </row>
    <row r="43" spans="3:10" x14ac:dyDescent="0.45">
      <c r="C43" s="4" t="s">
        <v>200</v>
      </c>
      <c r="D43" s="4" t="s">
        <v>94</v>
      </c>
      <c r="E43" s="4" t="s">
        <v>94</v>
      </c>
      <c r="F43" s="4" t="s">
        <v>44</v>
      </c>
      <c r="G43" s="4" t="s">
        <v>44</v>
      </c>
      <c r="H43" s="4">
        <v>243.5</v>
      </c>
      <c r="I43" s="5">
        <v>2522.58</v>
      </c>
      <c r="J43" s="5">
        <v>4178.13</v>
      </c>
    </row>
    <row r="44" spans="3:10" x14ac:dyDescent="0.45">
      <c r="C44" s="4" t="s">
        <v>201</v>
      </c>
      <c r="D44" s="4" t="s">
        <v>57</v>
      </c>
      <c r="E44" s="4" t="s">
        <v>94</v>
      </c>
      <c r="F44" s="4">
        <v>299.73</v>
      </c>
      <c r="G44" s="4">
        <v>365.23</v>
      </c>
      <c r="H44" s="4">
        <v>114.52</v>
      </c>
      <c r="I44" s="4">
        <v>10.18</v>
      </c>
      <c r="J44" s="4">
        <v>1.59</v>
      </c>
    </row>
    <row r="45" spans="3:10" x14ac:dyDescent="0.45">
      <c r="C45" s="4" t="s">
        <v>202</v>
      </c>
      <c r="D45" s="4" t="s">
        <v>57</v>
      </c>
      <c r="E45" s="4" t="s">
        <v>94</v>
      </c>
      <c r="F45" s="4">
        <v>397.23</v>
      </c>
      <c r="G45" s="4">
        <v>215.67</v>
      </c>
      <c r="H45" s="4">
        <v>102.86</v>
      </c>
      <c r="I45" s="4">
        <v>24.41</v>
      </c>
      <c r="J45" s="4">
        <v>0.17</v>
      </c>
    </row>
    <row r="46" spans="3:10" x14ac:dyDescent="0.45">
      <c r="C46" s="4" t="s">
        <v>203</v>
      </c>
      <c r="D46" s="4" t="s">
        <v>57</v>
      </c>
      <c r="E46" s="4" t="s">
        <v>94</v>
      </c>
      <c r="F46" s="5">
        <v>1076.74</v>
      </c>
      <c r="G46" s="4">
        <v>948.7</v>
      </c>
      <c r="H46" s="4">
        <v>552.46</v>
      </c>
      <c r="I46" s="4">
        <v>49.74</v>
      </c>
      <c r="J46" s="4">
        <v>112.13</v>
      </c>
    </row>
    <row r="47" spans="3:10" x14ac:dyDescent="0.45">
      <c r="C47" s="4" t="s">
        <v>208</v>
      </c>
      <c r="D47" s="4" t="s">
        <v>54</v>
      </c>
      <c r="E47" s="4"/>
      <c r="F47" s="4">
        <v>371.86</v>
      </c>
      <c r="G47" s="4">
        <v>394.35</v>
      </c>
      <c r="H47" s="4">
        <v>363.36</v>
      </c>
      <c r="I47" s="4">
        <v>292.66000000000003</v>
      </c>
      <c r="J47" s="4">
        <v>301.73</v>
      </c>
    </row>
    <row r="48" spans="3:10" x14ac:dyDescent="0.45">
      <c r="C48" s="4" t="s">
        <v>209</v>
      </c>
      <c r="D48" s="4" t="s">
        <v>54</v>
      </c>
      <c r="E48" s="4"/>
      <c r="F48" s="4">
        <v>367.83</v>
      </c>
      <c r="G48" s="4">
        <v>380.22</v>
      </c>
      <c r="H48" s="4">
        <v>345.81</v>
      </c>
      <c r="I48" s="4">
        <v>287.02999999999997</v>
      </c>
      <c r="J48" s="4">
        <v>297.54000000000002</v>
      </c>
    </row>
    <row r="49" spans="2:10" x14ac:dyDescent="0.45">
      <c r="C49" s="4" t="s">
        <v>215</v>
      </c>
      <c r="D49" s="4" t="s">
        <v>54</v>
      </c>
      <c r="E49" s="4"/>
      <c r="F49" s="4">
        <v>51.21</v>
      </c>
      <c r="G49" s="4">
        <v>43</v>
      </c>
      <c r="H49" s="4">
        <v>28.54</v>
      </c>
      <c r="I49" s="4">
        <v>26.89</v>
      </c>
      <c r="J49" s="4">
        <v>15.77</v>
      </c>
    </row>
    <row r="50" spans="2:10" x14ac:dyDescent="0.45">
      <c r="C50" s="4" t="s">
        <v>216</v>
      </c>
      <c r="D50" s="4" t="s">
        <v>54</v>
      </c>
      <c r="E50" s="4"/>
      <c r="F50" s="4">
        <v>10.66</v>
      </c>
      <c r="G50" s="4">
        <v>10</v>
      </c>
      <c r="H50" s="4">
        <v>9.2899999999999991</v>
      </c>
      <c r="I50" s="4">
        <v>10.41</v>
      </c>
      <c r="J50" s="4">
        <v>1.58</v>
      </c>
    </row>
    <row r="51" spans="2:10" x14ac:dyDescent="0.45">
      <c r="C51" s="4" t="s">
        <v>219</v>
      </c>
      <c r="D51" s="4" t="s">
        <v>54</v>
      </c>
      <c r="E51" s="4" t="s">
        <v>54</v>
      </c>
      <c r="F51" s="4" t="s">
        <v>44</v>
      </c>
      <c r="G51" s="4">
        <v>61</v>
      </c>
      <c r="H51" s="4">
        <v>35.44</v>
      </c>
      <c r="I51" s="4">
        <v>21.08</v>
      </c>
      <c r="J51" s="4">
        <v>3.08</v>
      </c>
    </row>
    <row r="52" spans="2:10" x14ac:dyDescent="0.45">
      <c r="C52" s="4" t="s">
        <v>220</v>
      </c>
      <c r="D52" s="4" t="s">
        <v>54</v>
      </c>
      <c r="E52" s="4" t="s">
        <v>54</v>
      </c>
      <c r="F52" s="4" t="s">
        <v>44</v>
      </c>
      <c r="G52" s="4">
        <v>0.02</v>
      </c>
      <c r="H52" s="4">
        <v>2.98</v>
      </c>
      <c r="I52" s="4">
        <v>2.2599999999999998</v>
      </c>
      <c r="J52" s="4">
        <v>3.36</v>
      </c>
    </row>
    <row r="53" spans="2:10" x14ac:dyDescent="0.45">
      <c r="F53" s="33">
        <f>SUM(F17:F52)</f>
        <v>50504.560000000005</v>
      </c>
      <c r="G53" s="33">
        <f t="shared" ref="G53:J53" si="1">SUM(G17:G52)</f>
        <v>54135.659999999996</v>
      </c>
      <c r="H53" s="33">
        <f t="shared" si="1"/>
        <v>54893.12999999999</v>
      </c>
      <c r="I53" s="33">
        <f t="shared" si="1"/>
        <v>44419.970000000016</v>
      </c>
      <c r="J53" s="33">
        <f t="shared" si="1"/>
        <v>43403.719999999994</v>
      </c>
    </row>
    <row r="55" spans="2:10" x14ac:dyDescent="0.45">
      <c r="B55" s="34" t="s">
        <v>440</v>
      </c>
    </row>
    <row r="56" spans="2:10" x14ac:dyDescent="0.45">
      <c r="C56" s="1" t="s">
        <v>0</v>
      </c>
      <c r="D56" s="2" t="s">
        <v>1</v>
      </c>
      <c r="E56" s="2" t="s">
        <v>2</v>
      </c>
      <c r="F56" s="2" t="s">
        <v>3</v>
      </c>
      <c r="G56" s="2" t="s">
        <v>4</v>
      </c>
      <c r="H56" s="2" t="s">
        <v>5</v>
      </c>
      <c r="I56" s="2" t="s">
        <v>6</v>
      </c>
      <c r="J56" s="3" t="s">
        <v>7</v>
      </c>
    </row>
    <row r="57" spans="2:10" x14ac:dyDescent="0.45">
      <c r="C57" s="4" t="s">
        <v>50</v>
      </c>
      <c r="D57" s="4" t="s">
        <v>51</v>
      </c>
      <c r="E57" s="4" t="s">
        <v>52</v>
      </c>
      <c r="F57" s="4">
        <v>209.9</v>
      </c>
      <c r="G57" s="4">
        <v>199.55</v>
      </c>
      <c r="H57" s="4">
        <v>245.53</v>
      </c>
      <c r="I57" s="4">
        <v>25.4</v>
      </c>
      <c r="J57" s="4">
        <v>0</v>
      </c>
    </row>
    <row r="58" spans="2:10" x14ac:dyDescent="0.45">
      <c r="C58" s="4" t="s">
        <v>64</v>
      </c>
      <c r="D58" s="4" t="s">
        <v>52</v>
      </c>
      <c r="E58" s="4"/>
      <c r="F58" s="4">
        <v>186.32</v>
      </c>
      <c r="G58" s="4">
        <v>620.78</v>
      </c>
      <c r="H58" s="4">
        <v>1022.68</v>
      </c>
      <c r="I58" s="4">
        <v>397.59</v>
      </c>
      <c r="J58" s="4">
        <v>358.99</v>
      </c>
    </row>
    <row r="59" spans="2:10" x14ac:dyDescent="0.45">
      <c r="C59" s="4" t="s">
        <v>65</v>
      </c>
      <c r="D59" s="4" t="s">
        <v>52</v>
      </c>
      <c r="E59" s="4"/>
      <c r="F59" s="4">
        <v>149.76</v>
      </c>
      <c r="G59" s="4">
        <v>445.54</v>
      </c>
      <c r="H59" s="4">
        <v>1304.3499999999999</v>
      </c>
      <c r="I59" s="4">
        <v>443.74</v>
      </c>
      <c r="J59" s="4">
        <v>211</v>
      </c>
    </row>
    <row r="60" spans="2:10" x14ac:dyDescent="0.45">
      <c r="C60" s="4" t="s">
        <v>69</v>
      </c>
      <c r="D60" s="4" t="s">
        <v>52</v>
      </c>
      <c r="E60" s="4"/>
      <c r="F60" s="4">
        <v>32.380000000000003</v>
      </c>
      <c r="G60" s="4">
        <v>112.91</v>
      </c>
      <c r="H60" s="4">
        <v>1219.58</v>
      </c>
      <c r="I60" s="4">
        <v>204.78</v>
      </c>
      <c r="J60" s="4">
        <v>0</v>
      </c>
    </row>
    <row r="61" spans="2:10" x14ac:dyDescent="0.45">
      <c r="C61" s="4" t="s">
        <v>72</v>
      </c>
      <c r="D61" s="4" t="s">
        <v>52</v>
      </c>
      <c r="E61" s="4"/>
      <c r="F61" s="4">
        <v>363.86</v>
      </c>
      <c r="G61" s="4">
        <v>337.07</v>
      </c>
      <c r="H61" s="4">
        <v>515.84</v>
      </c>
      <c r="I61" s="4">
        <v>329.16</v>
      </c>
      <c r="J61" s="4">
        <v>207.62</v>
      </c>
    </row>
    <row r="62" spans="2:10" x14ac:dyDescent="0.45">
      <c r="C62" s="4" t="s">
        <v>74</v>
      </c>
      <c r="D62" s="4" t="s">
        <v>52</v>
      </c>
      <c r="E62" s="4"/>
      <c r="F62" s="4">
        <v>50.83</v>
      </c>
      <c r="G62" s="4">
        <v>121.65</v>
      </c>
      <c r="H62" s="4">
        <v>329.95</v>
      </c>
      <c r="I62" s="4">
        <v>148.54</v>
      </c>
      <c r="J62" s="4">
        <v>54.18</v>
      </c>
    </row>
    <row r="63" spans="2:10" x14ac:dyDescent="0.45">
      <c r="C63" s="4" t="s">
        <v>77</v>
      </c>
      <c r="D63" s="4" t="s">
        <v>52</v>
      </c>
      <c r="E63" s="4"/>
      <c r="F63" s="4">
        <v>320.95999999999998</v>
      </c>
      <c r="G63" s="4">
        <v>384.03</v>
      </c>
      <c r="H63" s="4">
        <v>721.93</v>
      </c>
      <c r="I63" s="4">
        <v>483.59</v>
      </c>
      <c r="J63" s="4">
        <v>206.64</v>
      </c>
    </row>
    <row r="64" spans="2:10" x14ac:dyDescent="0.45">
      <c r="C64" s="4" t="s">
        <v>78</v>
      </c>
      <c r="D64" s="4" t="s">
        <v>52</v>
      </c>
      <c r="E64" s="4"/>
      <c r="F64" s="4">
        <v>259.33</v>
      </c>
      <c r="G64" s="4">
        <v>517.08000000000004</v>
      </c>
      <c r="H64" s="4">
        <v>1007.25</v>
      </c>
      <c r="I64" s="4">
        <v>521.94000000000005</v>
      </c>
      <c r="J64" s="4">
        <v>252.87</v>
      </c>
    </row>
    <row r="65" spans="2:10" x14ac:dyDescent="0.45">
      <c r="C65" s="4" t="s">
        <v>82</v>
      </c>
      <c r="D65" s="4" t="s">
        <v>52</v>
      </c>
      <c r="E65" s="4"/>
      <c r="F65" s="4">
        <v>277.45999999999998</v>
      </c>
      <c r="G65" s="4">
        <v>523.4</v>
      </c>
      <c r="H65" s="4">
        <v>794.25</v>
      </c>
      <c r="I65" s="4">
        <v>537.9</v>
      </c>
      <c r="J65" s="4">
        <v>453.69</v>
      </c>
    </row>
    <row r="66" spans="2:10" x14ac:dyDescent="0.45">
      <c r="C66" s="4" t="s">
        <v>83</v>
      </c>
      <c r="D66" s="4" t="s">
        <v>52</v>
      </c>
      <c r="E66" s="4"/>
      <c r="F66" s="4">
        <v>351.23</v>
      </c>
      <c r="G66" s="4">
        <v>537.57000000000005</v>
      </c>
      <c r="H66" s="4">
        <v>882.46</v>
      </c>
      <c r="I66" s="4">
        <v>386.13</v>
      </c>
      <c r="J66" s="4">
        <v>240.45</v>
      </c>
    </row>
    <row r="67" spans="2:10" x14ac:dyDescent="0.45">
      <c r="C67" s="4" t="s">
        <v>86</v>
      </c>
      <c r="D67" s="4" t="s">
        <v>52</v>
      </c>
      <c r="E67" s="4"/>
      <c r="F67" s="4">
        <v>338.08</v>
      </c>
      <c r="G67" s="4">
        <v>496.06</v>
      </c>
      <c r="H67" s="4">
        <v>867.49</v>
      </c>
      <c r="I67" s="4">
        <v>469.88</v>
      </c>
      <c r="J67" s="4">
        <v>200.96</v>
      </c>
    </row>
    <row r="68" spans="2:10" x14ac:dyDescent="0.45">
      <c r="C68" s="4" t="s">
        <v>87</v>
      </c>
      <c r="D68" s="4" t="s">
        <v>52</v>
      </c>
      <c r="E68" s="4"/>
      <c r="F68" s="4">
        <v>458.54</v>
      </c>
      <c r="G68" s="4">
        <v>606.66</v>
      </c>
      <c r="H68" s="4">
        <v>925.44</v>
      </c>
      <c r="I68" s="4">
        <v>556.15</v>
      </c>
      <c r="J68" s="4">
        <v>239.94</v>
      </c>
    </row>
    <row r="69" spans="2:10" x14ac:dyDescent="0.45">
      <c r="C69" s="4" t="s">
        <v>99</v>
      </c>
      <c r="D69" s="4" t="s">
        <v>100</v>
      </c>
      <c r="E69" s="4"/>
      <c r="F69" s="4">
        <v>2.0699999999999998</v>
      </c>
      <c r="G69" s="4">
        <v>0</v>
      </c>
      <c r="H69" s="4">
        <v>0</v>
      </c>
      <c r="I69" s="4">
        <v>0</v>
      </c>
      <c r="J69" s="4">
        <v>0</v>
      </c>
    </row>
    <row r="70" spans="2:10" x14ac:dyDescent="0.45">
      <c r="C70" s="4" t="s">
        <v>206</v>
      </c>
      <c r="D70" s="4" t="s">
        <v>52</v>
      </c>
      <c r="E70" s="4"/>
      <c r="F70" s="4">
        <v>496.14</v>
      </c>
      <c r="G70" s="4">
        <v>673</v>
      </c>
      <c r="H70" s="4">
        <v>705.43</v>
      </c>
      <c r="I70" s="4">
        <v>508.68</v>
      </c>
      <c r="J70" s="4">
        <v>268.58999999999997</v>
      </c>
    </row>
    <row r="71" spans="2:10" x14ac:dyDescent="0.45">
      <c r="C71" s="4" t="s">
        <v>207</v>
      </c>
      <c r="D71" s="4" t="s">
        <v>52</v>
      </c>
      <c r="E71" s="4"/>
      <c r="F71" s="4">
        <v>627.77</v>
      </c>
      <c r="G71" s="4">
        <v>737</v>
      </c>
      <c r="H71" s="4">
        <v>715.86</v>
      </c>
      <c r="I71" s="4">
        <v>518.42999999999995</v>
      </c>
      <c r="J71" s="4">
        <v>288.33</v>
      </c>
    </row>
    <row r="72" spans="2:10" x14ac:dyDescent="0.45">
      <c r="C72" s="4" t="s">
        <v>212</v>
      </c>
      <c r="D72" s="4" t="s">
        <v>213</v>
      </c>
      <c r="E72" s="4" t="s">
        <v>214</v>
      </c>
      <c r="F72" s="4">
        <v>59.52</v>
      </c>
      <c r="G72" s="4">
        <v>12</v>
      </c>
      <c r="H72" s="4">
        <v>0</v>
      </c>
      <c r="I72" s="4">
        <v>0</v>
      </c>
      <c r="J72" s="4">
        <v>0</v>
      </c>
    </row>
    <row r="73" spans="2:10" x14ac:dyDescent="0.45">
      <c r="F73">
        <f>SUM(F57:F72)</f>
        <v>4184.1499999999996</v>
      </c>
      <c r="G73">
        <f t="shared" ref="G73:J73" si="2">SUM(G57:G72)</f>
        <v>6324.3</v>
      </c>
      <c r="H73">
        <f t="shared" si="2"/>
        <v>11258.04</v>
      </c>
      <c r="I73">
        <f t="shared" si="2"/>
        <v>5531.9100000000008</v>
      </c>
      <c r="J73">
        <f t="shared" si="2"/>
        <v>2983.2599999999998</v>
      </c>
    </row>
    <row r="76" spans="2:10" x14ac:dyDescent="0.45">
      <c r="B76" t="s">
        <v>441</v>
      </c>
    </row>
    <row r="77" spans="2:10" x14ac:dyDescent="0.45">
      <c r="C77" s="33">
        <f>F13+F53+F73</f>
        <v>80654.97</v>
      </c>
      <c r="D77" s="33">
        <f t="shared" ref="D77:G77" si="3">G13+G53+G73</f>
        <v>88460.62999999999</v>
      </c>
      <c r="E77" s="33">
        <f t="shared" si="3"/>
        <v>93133.819999999978</v>
      </c>
      <c r="F77" s="33">
        <f t="shared" si="3"/>
        <v>71272.030000000013</v>
      </c>
      <c r="G77" s="33">
        <f>J13+J53+J73</f>
        <v>66929.439999999988</v>
      </c>
    </row>
  </sheetData>
  <mergeCells count="7">
    <mergeCell ref="D40:E40"/>
    <mergeCell ref="D4:E4"/>
    <mergeCell ref="D6:E6"/>
    <mergeCell ref="D7:E7"/>
    <mergeCell ref="D8:E8"/>
    <mergeCell ref="D10:E10"/>
    <mergeCell ref="D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9720-67CB-484A-945B-FCF217879BC9}">
  <sheetPr filterMode="1"/>
  <dimension ref="A1:Q215"/>
  <sheetViews>
    <sheetView zoomScale="140" workbookViewId="0">
      <selection activeCell="B208" sqref="B208"/>
    </sheetView>
  </sheetViews>
  <sheetFormatPr defaultColWidth="18.59765625" defaultRowHeight="14.25" x14ac:dyDescent="0.45"/>
  <sheetData>
    <row r="1" spans="1:17" s="31" customFormat="1" ht="14.35" customHeight="1" x14ac:dyDescent="0.45">
      <c r="A1" s="30" t="s">
        <v>0</v>
      </c>
      <c r="B1" s="30" t="s">
        <v>231</v>
      </c>
      <c r="C1" s="30" t="s">
        <v>232</v>
      </c>
      <c r="D1" s="30">
        <v>2020</v>
      </c>
      <c r="E1" s="30">
        <v>2021</v>
      </c>
      <c r="F1" s="30">
        <v>2022</v>
      </c>
      <c r="G1" s="30">
        <v>2023</v>
      </c>
      <c r="H1" s="30">
        <v>2024</v>
      </c>
      <c r="I1" s="30" t="s">
        <v>233</v>
      </c>
      <c r="K1" s="32" t="s">
        <v>380</v>
      </c>
      <c r="L1" s="70" t="s">
        <v>381</v>
      </c>
      <c r="M1" s="71"/>
      <c r="N1" s="71"/>
      <c r="O1" s="71"/>
      <c r="P1" s="71"/>
      <c r="Q1" s="72"/>
    </row>
    <row r="2" spans="1:17" hidden="1" x14ac:dyDescent="0.45">
      <c r="A2" s="79" t="s">
        <v>8</v>
      </c>
      <c r="B2" s="68"/>
      <c r="C2" s="68"/>
      <c r="D2" s="68"/>
      <c r="E2" s="68"/>
      <c r="F2" s="68"/>
      <c r="G2" s="68"/>
      <c r="H2" s="68"/>
      <c r="I2" s="69"/>
      <c r="K2" s="29" t="s">
        <v>382</v>
      </c>
      <c r="L2" s="50" t="s">
        <v>383</v>
      </c>
      <c r="M2" s="51"/>
      <c r="N2" s="51"/>
      <c r="O2" s="51"/>
      <c r="P2" s="51"/>
      <c r="Q2" s="52"/>
    </row>
    <row r="3" spans="1:17" hidden="1" x14ac:dyDescent="0.45">
      <c r="A3" s="18" t="s">
        <v>10</v>
      </c>
      <c r="B3" s="18" t="s">
        <v>234</v>
      </c>
      <c r="C3" s="18" t="s">
        <v>235</v>
      </c>
      <c r="D3" s="19">
        <v>3478</v>
      </c>
      <c r="E3" s="19">
        <v>3478</v>
      </c>
      <c r="F3" s="19">
        <v>3478</v>
      </c>
      <c r="G3" s="19">
        <v>3478</v>
      </c>
      <c r="H3" s="19">
        <v>3478</v>
      </c>
      <c r="I3" s="19">
        <v>3478</v>
      </c>
      <c r="K3" s="29" t="s">
        <v>384</v>
      </c>
      <c r="L3" s="50" t="s">
        <v>385</v>
      </c>
      <c r="M3" s="51"/>
      <c r="N3" s="51"/>
      <c r="O3" s="51"/>
      <c r="P3" s="51"/>
      <c r="Q3" s="52"/>
    </row>
    <row r="4" spans="1:17" hidden="1" x14ac:dyDescent="0.45">
      <c r="A4" s="18" t="s">
        <v>12</v>
      </c>
      <c r="B4" s="18" t="s">
        <v>234</v>
      </c>
      <c r="C4" s="18" t="s">
        <v>235</v>
      </c>
      <c r="D4" s="19">
        <v>1410</v>
      </c>
      <c r="E4" s="19">
        <v>1410</v>
      </c>
      <c r="F4" s="19">
        <v>1410</v>
      </c>
      <c r="G4" s="19">
        <v>1410</v>
      </c>
      <c r="H4" s="19">
        <v>1410</v>
      </c>
      <c r="I4" s="19">
        <v>1410</v>
      </c>
      <c r="K4" s="29" t="s">
        <v>288</v>
      </c>
      <c r="L4" s="56" t="s">
        <v>386</v>
      </c>
      <c r="M4" s="57"/>
      <c r="N4" s="57"/>
      <c r="O4" s="57"/>
      <c r="P4" s="57"/>
      <c r="Q4" s="58"/>
    </row>
    <row r="5" spans="1:17" hidden="1" x14ac:dyDescent="0.45">
      <c r="A5" s="18" t="s">
        <v>13</v>
      </c>
      <c r="B5" s="18" t="s">
        <v>236</v>
      </c>
      <c r="C5" s="18" t="s">
        <v>237</v>
      </c>
      <c r="D5" s="19">
        <v>1450</v>
      </c>
      <c r="E5" s="19">
        <v>1450</v>
      </c>
      <c r="F5" s="19">
        <v>1450</v>
      </c>
      <c r="G5" s="19">
        <v>1450</v>
      </c>
      <c r="H5" s="19">
        <v>1450</v>
      </c>
      <c r="I5" s="19">
        <v>1450</v>
      </c>
      <c r="K5" s="29" t="s">
        <v>387</v>
      </c>
      <c r="L5" s="56" t="s">
        <v>388</v>
      </c>
      <c r="M5" s="57"/>
      <c r="N5" s="57"/>
      <c r="O5" s="57"/>
      <c r="P5" s="57"/>
      <c r="Q5" s="58"/>
    </row>
    <row r="6" spans="1:17" hidden="1" x14ac:dyDescent="0.45">
      <c r="A6" s="18" t="s">
        <v>14</v>
      </c>
      <c r="B6" s="18" t="s">
        <v>238</v>
      </c>
      <c r="C6" s="18" t="s">
        <v>235</v>
      </c>
      <c r="D6" s="19">
        <v>1000</v>
      </c>
      <c r="E6" s="19">
        <v>1000</v>
      </c>
      <c r="F6" s="19">
        <v>1000</v>
      </c>
      <c r="G6" s="19">
        <v>1000</v>
      </c>
      <c r="H6" s="19">
        <v>1000</v>
      </c>
      <c r="I6" s="19">
        <v>1060</v>
      </c>
      <c r="K6" s="29" t="s">
        <v>389</v>
      </c>
      <c r="L6" s="53" t="s">
        <v>390</v>
      </c>
      <c r="M6" s="54"/>
      <c r="N6" s="54"/>
      <c r="O6" s="54"/>
      <c r="P6" s="54"/>
      <c r="Q6" s="55"/>
    </row>
    <row r="7" spans="1:17" hidden="1" x14ac:dyDescent="0.45">
      <c r="A7" s="18" t="s">
        <v>15</v>
      </c>
      <c r="B7" s="18" t="s">
        <v>239</v>
      </c>
      <c r="C7" s="18" t="s">
        <v>237</v>
      </c>
      <c r="D7" s="19">
        <v>243</v>
      </c>
      <c r="E7" s="19">
        <v>243</v>
      </c>
      <c r="F7" s="19">
        <v>243</v>
      </c>
      <c r="G7" s="19">
        <v>243</v>
      </c>
      <c r="H7" s="19">
        <v>243</v>
      </c>
      <c r="I7" s="19">
        <v>243</v>
      </c>
      <c r="K7" s="29" t="s">
        <v>391</v>
      </c>
      <c r="L7" s="56" t="s">
        <v>392</v>
      </c>
      <c r="M7" s="57"/>
      <c r="N7" s="57"/>
      <c r="O7" s="57"/>
      <c r="P7" s="57"/>
      <c r="Q7" s="58"/>
    </row>
    <row r="8" spans="1:17" hidden="1" x14ac:dyDescent="0.45">
      <c r="A8" s="18" t="s">
        <v>16</v>
      </c>
      <c r="B8" s="18" t="s">
        <v>240</v>
      </c>
      <c r="C8" s="18" t="s">
        <v>237</v>
      </c>
      <c r="D8" s="19">
        <v>184</v>
      </c>
      <c r="E8" s="19">
        <v>184</v>
      </c>
      <c r="F8" s="19">
        <v>184</v>
      </c>
      <c r="G8" s="19">
        <v>184</v>
      </c>
      <c r="H8" s="19">
        <v>184</v>
      </c>
      <c r="I8" s="19">
        <v>184</v>
      </c>
      <c r="K8" s="29" t="s">
        <v>393</v>
      </c>
      <c r="L8" s="73" t="s">
        <v>394</v>
      </c>
      <c r="M8" s="74"/>
      <c r="N8" s="74"/>
      <c r="O8" s="74"/>
      <c r="P8" s="74"/>
      <c r="Q8" s="75"/>
    </row>
    <row r="9" spans="1:17" hidden="1" x14ac:dyDescent="0.45">
      <c r="A9" s="18" t="s">
        <v>17</v>
      </c>
      <c r="B9" s="18" t="s">
        <v>241</v>
      </c>
      <c r="C9" s="18" t="s">
        <v>235</v>
      </c>
      <c r="D9" s="19">
        <v>72</v>
      </c>
      <c r="E9" s="19">
        <v>72</v>
      </c>
      <c r="F9" s="19">
        <v>72</v>
      </c>
      <c r="G9" s="19">
        <v>72</v>
      </c>
      <c r="H9" s="19">
        <v>72</v>
      </c>
      <c r="I9" s="19">
        <v>72</v>
      </c>
      <c r="K9" s="29" t="s">
        <v>363</v>
      </c>
      <c r="L9" s="73" t="s">
        <v>395</v>
      </c>
      <c r="M9" s="74"/>
      <c r="N9" s="74"/>
      <c r="O9" s="74"/>
      <c r="P9" s="74"/>
      <c r="Q9" s="75"/>
    </row>
    <row r="10" spans="1:17" hidden="1" x14ac:dyDescent="0.45">
      <c r="A10" s="18" t="s">
        <v>18</v>
      </c>
      <c r="B10" s="18" t="s">
        <v>242</v>
      </c>
      <c r="C10" s="18" t="s">
        <v>235</v>
      </c>
      <c r="D10" s="19">
        <v>121</v>
      </c>
      <c r="E10" s="19">
        <v>121</v>
      </c>
      <c r="F10" s="19">
        <v>121</v>
      </c>
      <c r="G10" s="19">
        <v>121</v>
      </c>
      <c r="H10" s="19">
        <v>121</v>
      </c>
      <c r="I10" s="19">
        <v>121</v>
      </c>
      <c r="K10" s="29" t="s">
        <v>396</v>
      </c>
      <c r="L10" s="50" t="s">
        <v>397</v>
      </c>
      <c r="M10" s="51"/>
      <c r="N10" s="51"/>
      <c r="O10" s="51"/>
      <c r="P10" s="51"/>
      <c r="Q10" s="52"/>
    </row>
    <row r="11" spans="1:17" hidden="1" x14ac:dyDescent="0.45">
      <c r="A11" s="18" t="s">
        <v>243</v>
      </c>
      <c r="B11" s="18" t="s">
        <v>244</v>
      </c>
      <c r="C11" s="18" t="s">
        <v>237</v>
      </c>
      <c r="D11" s="19">
        <v>96</v>
      </c>
      <c r="E11" s="19">
        <v>96</v>
      </c>
      <c r="F11" s="19">
        <v>96</v>
      </c>
      <c r="G11" s="19">
        <v>96</v>
      </c>
      <c r="H11" s="19">
        <v>96</v>
      </c>
      <c r="I11" s="19">
        <v>36</v>
      </c>
      <c r="K11" s="29" t="s">
        <v>398</v>
      </c>
      <c r="L11" s="59" t="s">
        <v>399</v>
      </c>
      <c r="M11" s="60"/>
      <c r="N11" s="60"/>
      <c r="O11" s="60"/>
      <c r="P11" s="60"/>
      <c r="Q11" s="61"/>
    </row>
    <row r="12" spans="1:17" hidden="1" x14ac:dyDescent="0.45">
      <c r="A12" s="18" t="s">
        <v>20</v>
      </c>
      <c r="B12" s="18" t="s">
        <v>245</v>
      </c>
      <c r="C12" s="18" t="s">
        <v>235</v>
      </c>
      <c r="D12" s="19">
        <v>130</v>
      </c>
      <c r="E12" s="19">
        <v>130</v>
      </c>
      <c r="F12" s="19">
        <v>130</v>
      </c>
      <c r="G12" s="19">
        <v>130</v>
      </c>
      <c r="H12" s="19">
        <v>130</v>
      </c>
      <c r="I12" s="19">
        <v>130</v>
      </c>
      <c r="K12" s="29" t="s">
        <v>400</v>
      </c>
      <c r="L12" s="56" t="s">
        <v>401</v>
      </c>
      <c r="M12" s="57"/>
      <c r="N12" s="57"/>
      <c r="O12" s="57"/>
      <c r="P12" s="57"/>
      <c r="Q12" s="58"/>
    </row>
    <row r="13" spans="1:17" hidden="1" x14ac:dyDescent="0.45">
      <c r="A13" s="18" t="s">
        <v>21</v>
      </c>
      <c r="B13" s="18" t="s">
        <v>246</v>
      </c>
      <c r="C13" s="18" t="s">
        <v>237</v>
      </c>
      <c r="D13" s="19">
        <v>969</v>
      </c>
      <c r="E13" s="19">
        <v>969</v>
      </c>
      <c r="F13" s="19">
        <v>969</v>
      </c>
      <c r="G13" s="19">
        <v>969</v>
      </c>
      <c r="H13" s="19">
        <v>969</v>
      </c>
      <c r="I13" s="19">
        <v>969</v>
      </c>
      <c r="K13" s="29" t="s">
        <v>402</v>
      </c>
      <c r="L13" s="56" t="s">
        <v>403</v>
      </c>
      <c r="M13" s="57"/>
      <c r="N13" s="57"/>
      <c r="O13" s="57"/>
      <c r="P13" s="57"/>
      <c r="Q13" s="58"/>
    </row>
    <row r="14" spans="1:17" hidden="1" x14ac:dyDescent="0.45">
      <c r="A14" s="18" t="s">
        <v>22</v>
      </c>
      <c r="B14" s="18" t="s">
        <v>247</v>
      </c>
      <c r="C14" s="18" t="s">
        <v>237</v>
      </c>
      <c r="D14" s="19">
        <v>108</v>
      </c>
      <c r="E14" s="19">
        <v>108</v>
      </c>
      <c r="F14" s="19">
        <v>108</v>
      </c>
      <c r="G14" s="19">
        <v>108</v>
      </c>
      <c r="H14" s="19">
        <v>108</v>
      </c>
      <c r="I14" s="19">
        <v>108</v>
      </c>
      <c r="K14" s="29" t="s">
        <v>325</v>
      </c>
      <c r="L14" s="50" t="s">
        <v>404</v>
      </c>
      <c r="M14" s="51"/>
      <c r="N14" s="51"/>
      <c r="O14" s="51"/>
      <c r="P14" s="51"/>
      <c r="Q14" s="52"/>
    </row>
    <row r="15" spans="1:17" hidden="1" x14ac:dyDescent="0.45">
      <c r="A15" s="18" t="s">
        <v>24</v>
      </c>
      <c r="B15" s="18" t="s">
        <v>248</v>
      </c>
      <c r="C15" s="18" t="s">
        <v>249</v>
      </c>
      <c r="D15" s="19">
        <v>20</v>
      </c>
      <c r="E15" s="19">
        <v>20</v>
      </c>
      <c r="F15" s="19">
        <v>20</v>
      </c>
      <c r="G15" s="19">
        <v>20</v>
      </c>
      <c r="H15" s="19">
        <v>20</v>
      </c>
      <c r="I15" s="19">
        <v>20</v>
      </c>
      <c r="K15" s="29" t="s">
        <v>288</v>
      </c>
      <c r="L15" s="53" t="s">
        <v>405</v>
      </c>
      <c r="M15" s="54"/>
      <c r="N15" s="54"/>
      <c r="O15" s="54"/>
      <c r="P15" s="54"/>
      <c r="Q15" s="55"/>
    </row>
    <row r="16" spans="1:17" hidden="1" x14ac:dyDescent="0.45">
      <c r="A16" s="18" t="s">
        <v>25</v>
      </c>
      <c r="B16" s="18" t="s">
        <v>250</v>
      </c>
      <c r="C16" s="18" t="s">
        <v>249</v>
      </c>
      <c r="D16" s="19">
        <v>22</v>
      </c>
      <c r="E16" s="19">
        <v>22</v>
      </c>
      <c r="F16" s="19">
        <v>22</v>
      </c>
      <c r="G16" s="19">
        <v>22</v>
      </c>
      <c r="H16" s="19">
        <v>22</v>
      </c>
      <c r="I16" s="19">
        <v>22</v>
      </c>
    </row>
    <row r="17" spans="1:13" hidden="1" x14ac:dyDescent="0.45">
      <c r="A17" s="18" t="s">
        <v>26</v>
      </c>
      <c r="B17" s="18" t="s">
        <v>250</v>
      </c>
      <c r="C17" s="18" t="s">
        <v>249</v>
      </c>
      <c r="D17" s="19">
        <v>14</v>
      </c>
      <c r="E17" s="19">
        <v>14</v>
      </c>
      <c r="F17" s="19">
        <v>14</v>
      </c>
      <c r="G17" s="19">
        <v>14</v>
      </c>
      <c r="H17" s="19">
        <v>14</v>
      </c>
      <c r="I17" s="19">
        <v>14</v>
      </c>
    </row>
    <row r="18" spans="1:13" hidden="1" x14ac:dyDescent="0.45">
      <c r="A18" s="18" t="s">
        <v>27</v>
      </c>
      <c r="B18" s="18" t="s">
        <v>250</v>
      </c>
      <c r="C18" s="18" t="s">
        <v>249</v>
      </c>
      <c r="D18" s="19">
        <v>13</v>
      </c>
      <c r="E18" s="19">
        <v>13</v>
      </c>
      <c r="F18" s="19">
        <v>13</v>
      </c>
      <c r="G18" s="19">
        <v>13</v>
      </c>
      <c r="H18" s="19">
        <v>13</v>
      </c>
      <c r="I18" s="19">
        <v>13</v>
      </c>
      <c r="L18" s="35"/>
      <c r="M18" t="s">
        <v>427</v>
      </c>
    </row>
    <row r="19" spans="1:13" hidden="1" x14ac:dyDescent="0.45">
      <c r="A19" s="18" t="s">
        <v>28</v>
      </c>
      <c r="B19" s="18" t="s">
        <v>250</v>
      </c>
      <c r="C19" s="18" t="s">
        <v>249</v>
      </c>
      <c r="D19" s="19">
        <v>14</v>
      </c>
      <c r="E19" s="19">
        <v>14</v>
      </c>
      <c r="F19" s="19">
        <v>14</v>
      </c>
      <c r="G19" s="19">
        <v>14</v>
      </c>
      <c r="H19" s="19">
        <v>14</v>
      </c>
      <c r="I19" s="19">
        <v>14</v>
      </c>
      <c r="L19" s="36"/>
      <c r="M19" t="s">
        <v>428</v>
      </c>
    </row>
    <row r="20" spans="1:13" hidden="1" x14ac:dyDescent="0.45">
      <c r="A20" s="18" t="s">
        <v>29</v>
      </c>
      <c r="B20" s="18" t="s">
        <v>251</v>
      </c>
      <c r="C20" s="18" t="s">
        <v>249</v>
      </c>
      <c r="D20" s="19">
        <v>4</v>
      </c>
      <c r="E20" s="19">
        <v>4</v>
      </c>
      <c r="F20" s="19">
        <v>4</v>
      </c>
      <c r="G20" s="19">
        <v>4</v>
      </c>
      <c r="H20" s="19">
        <v>4</v>
      </c>
      <c r="I20" s="19">
        <v>4</v>
      </c>
      <c r="L20" s="37"/>
      <c r="M20" t="s">
        <v>429</v>
      </c>
    </row>
    <row r="21" spans="1:13" hidden="1" x14ac:dyDescent="0.45">
      <c r="A21" s="18" t="s">
        <v>30</v>
      </c>
      <c r="B21" s="18" t="s">
        <v>250</v>
      </c>
      <c r="C21" s="18" t="s">
        <v>249</v>
      </c>
      <c r="D21" s="19">
        <v>1</v>
      </c>
      <c r="E21" s="19">
        <v>1</v>
      </c>
      <c r="F21" s="19">
        <v>1</v>
      </c>
      <c r="G21" s="19">
        <v>1</v>
      </c>
      <c r="H21" s="19">
        <v>1</v>
      </c>
      <c r="I21" s="19">
        <v>1</v>
      </c>
    </row>
    <row r="22" spans="1:13" hidden="1" x14ac:dyDescent="0.45">
      <c r="A22" s="18" t="s">
        <v>31</v>
      </c>
      <c r="B22" s="18" t="s">
        <v>251</v>
      </c>
      <c r="C22" s="18" t="s">
        <v>249</v>
      </c>
      <c r="D22" s="19">
        <v>1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</row>
    <row r="23" spans="1:13" hidden="1" x14ac:dyDescent="0.45">
      <c r="A23" s="18" t="s">
        <v>32</v>
      </c>
      <c r="B23" s="18" t="s">
        <v>252</v>
      </c>
      <c r="C23" s="18" t="s">
        <v>235</v>
      </c>
      <c r="D23" s="19">
        <v>17</v>
      </c>
      <c r="E23" s="19">
        <v>17</v>
      </c>
      <c r="F23" s="19">
        <v>17</v>
      </c>
      <c r="G23" s="19">
        <v>17</v>
      </c>
      <c r="H23" s="19">
        <v>17</v>
      </c>
      <c r="I23" s="19">
        <v>17</v>
      </c>
    </row>
    <row r="24" spans="1:13" hidden="1" x14ac:dyDescent="0.45">
      <c r="A24" s="18" t="s">
        <v>33</v>
      </c>
      <c r="B24" s="18" t="s">
        <v>253</v>
      </c>
      <c r="C24" s="18" t="s">
        <v>237</v>
      </c>
      <c r="D24" s="19">
        <v>22</v>
      </c>
      <c r="E24" s="19">
        <v>22</v>
      </c>
      <c r="F24" s="19">
        <v>22</v>
      </c>
      <c r="G24" s="19">
        <v>22</v>
      </c>
      <c r="H24" s="19">
        <v>22</v>
      </c>
      <c r="I24" s="19">
        <v>22</v>
      </c>
    </row>
    <row r="25" spans="1:13" hidden="1" x14ac:dyDescent="0.45">
      <c r="A25" s="20" t="s">
        <v>34</v>
      </c>
      <c r="B25" s="21"/>
      <c r="C25" s="21"/>
      <c r="D25" s="22">
        <v>9389</v>
      </c>
      <c r="E25" s="22">
        <v>9389</v>
      </c>
      <c r="F25" s="22">
        <v>9389</v>
      </c>
      <c r="G25" s="22">
        <v>9389</v>
      </c>
      <c r="H25" s="22">
        <v>9389</v>
      </c>
      <c r="I25" s="22">
        <v>9389</v>
      </c>
    </row>
    <row r="26" spans="1:13" hidden="1" x14ac:dyDescent="0.45">
      <c r="A26" s="62" t="s">
        <v>35</v>
      </c>
      <c r="B26" s="63"/>
      <c r="C26" s="63"/>
      <c r="D26" s="63"/>
      <c r="E26" s="63"/>
      <c r="F26" s="63"/>
      <c r="G26" s="63"/>
      <c r="H26" s="63"/>
      <c r="I26" s="64"/>
    </row>
    <row r="27" spans="1:13" hidden="1" x14ac:dyDescent="0.45">
      <c r="A27" s="67"/>
      <c r="B27" s="68"/>
      <c r="C27" s="68"/>
      <c r="D27" s="68"/>
      <c r="E27" s="68"/>
      <c r="F27" s="68"/>
      <c r="G27" s="68"/>
      <c r="H27" s="68"/>
      <c r="I27" s="69"/>
    </row>
    <row r="28" spans="1:13" hidden="1" x14ac:dyDescent="0.45">
      <c r="A28" s="18" t="s">
        <v>36</v>
      </c>
      <c r="B28" s="18" t="s">
        <v>254</v>
      </c>
      <c r="C28" s="18" t="s">
        <v>255</v>
      </c>
      <c r="D28" s="19">
        <v>30</v>
      </c>
      <c r="E28" s="19">
        <v>30</v>
      </c>
      <c r="F28" s="19">
        <v>30</v>
      </c>
      <c r="G28" s="19">
        <v>30</v>
      </c>
      <c r="H28" s="19">
        <v>30</v>
      </c>
      <c r="I28" s="19">
        <v>30</v>
      </c>
    </row>
    <row r="29" spans="1:13" hidden="1" x14ac:dyDescent="0.45">
      <c r="A29" s="18" t="s">
        <v>37</v>
      </c>
      <c r="B29" s="18" t="s">
        <v>253</v>
      </c>
      <c r="C29" s="18" t="s">
        <v>256</v>
      </c>
      <c r="D29" s="19">
        <v>84</v>
      </c>
      <c r="E29" s="19">
        <v>84</v>
      </c>
      <c r="F29" s="19">
        <v>84</v>
      </c>
      <c r="G29" s="19">
        <v>84</v>
      </c>
      <c r="H29" s="19">
        <v>84</v>
      </c>
      <c r="I29" s="19">
        <v>81</v>
      </c>
    </row>
    <row r="30" spans="1:13" hidden="1" x14ac:dyDescent="0.45">
      <c r="A30" s="18" t="s">
        <v>38</v>
      </c>
      <c r="B30" s="18" t="s">
        <v>257</v>
      </c>
      <c r="C30" s="18" t="s">
        <v>258</v>
      </c>
      <c r="D30" s="19">
        <v>18</v>
      </c>
      <c r="E30" s="19">
        <v>18</v>
      </c>
      <c r="F30" s="19">
        <v>18</v>
      </c>
      <c r="G30" s="19">
        <v>18</v>
      </c>
      <c r="H30" s="19">
        <v>18</v>
      </c>
      <c r="I30" s="18"/>
    </row>
    <row r="31" spans="1:13" hidden="1" x14ac:dyDescent="0.45">
      <c r="A31" s="18" t="s">
        <v>259</v>
      </c>
      <c r="B31" s="18" t="s">
        <v>260</v>
      </c>
      <c r="C31" s="18" t="s">
        <v>255</v>
      </c>
      <c r="D31" s="19">
        <v>84</v>
      </c>
      <c r="E31" s="19">
        <v>84</v>
      </c>
      <c r="F31" s="19">
        <v>84</v>
      </c>
      <c r="G31" s="19">
        <v>84</v>
      </c>
      <c r="H31" s="19">
        <v>84</v>
      </c>
      <c r="I31" s="19">
        <v>84</v>
      </c>
    </row>
    <row r="32" spans="1:13" hidden="1" x14ac:dyDescent="0.45">
      <c r="A32" s="18" t="s">
        <v>261</v>
      </c>
      <c r="B32" s="18" t="s">
        <v>247</v>
      </c>
      <c r="C32" s="18" t="s">
        <v>255</v>
      </c>
      <c r="D32" s="19">
        <v>1</v>
      </c>
      <c r="E32" s="19">
        <v>1</v>
      </c>
      <c r="F32" s="19">
        <v>1</v>
      </c>
      <c r="G32" s="19">
        <v>1</v>
      </c>
      <c r="H32" s="19">
        <v>1</v>
      </c>
      <c r="I32" s="18"/>
    </row>
    <row r="33" spans="1:10" hidden="1" x14ac:dyDescent="0.45">
      <c r="A33" s="18" t="s">
        <v>40</v>
      </c>
      <c r="B33" s="18" t="s">
        <v>262</v>
      </c>
      <c r="C33" s="18" t="s">
        <v>258</v>
      </c>
      <c r="D33" s="19">
        <v>8</v>
      </c>
      <c r="E33" s="19">
        <v>8</v>
      </c>
      <c r="F33" s="19">
        <v>8</v>
      </c>
      <c r="G33" s="19">
        <v>8</v>
      </c>
      <c r="H33" s="19">
        <v>8</v>
      </c>
      <c r="I33" s="19">
        <v>8</v>
      </c>
    </row>
    <row r="34" spans="1:10" hidden="1" x14ac:dyDescent="0.45">
      <c r="A34" s="18" t="s">
        <v>263</v>
      </c>
      <c r="B34" s="18" t="s">
        <v>246</v>
      </c>
      <c r="C34" s="18" t="s">
        <v>237</v>
      </c>
      <c r="D34" s="19">
        <v>147</v>
      </c>
      <c r="E34" s="19">
        <v>147</v>
      </c>
      <c r="F34" s="19">
        <v>147</v>
      </c>
      <c r="G34" s="19">
        <v>147</v>
      </c>
      <c r="H34" s="19">
        <v>147</v>
      </c>
      <c r="I34" s="19">
        <v>147</v>
      </c>
    </row>
    <row r="35" spans="1:10" hidden="1" x14ac:dyDescent="0.45">
      <c r="A35" s="18" t="s">
        <v>264</v>
      </c>
      <c r="B35" s="18" t="s">
        <v>265</v>
      </c>
      <c r="C35" s="18" t="s">
        <v>237</v>
      </c>
      <c r="D35" s="19">
        <v>100</v>
      </c>
      <c r="E35" s="19">
        <v>100</v>
      </c>
      <c r="F35" s="19">
        <v>100</v>
      </c>
      <c r="G35" s="19">
        <v>100</v>
      </c>
      <c r="H35" s="19">
        <v>100</v>
      </c>
      <c r="I35" s="19">
        <v>101</v>
      </c>
    </row>
    <row r="36" spans="1:10" hidden="1" x14ac:dyDescent="0.45">
      <c r="A36" s="18" t="s">
        <v>43</v>
      </c>
      <c r="B36" s="18" t="s">
        <v>266</v>
      </c>
      <c r="C36" s="18" t="s">
        <v>237</v>
      </c>
      <c r="D36" s="18"/>
      <c r="E36" s="19">
        <v>37</v>
      </c>
      <c r="F36" s="19">
        <v>37</v>
      </c>
      <c r="G36" s="19">
        <v>37</v>
      </c>
      <c r="H36" s="19">
        <v>37</v>
      </c>
      <c r="I36" s="19">
        <v>37</v>
      </c>
    </row>
    <row r="37" spans="1:10" hidden="1" x14ac:dyDescent="0.45">
      <c r="A37" s="18" t="s">
        <v>45</v>
      </c>
      <c r="B37" s="18" t="s">
        <v>245</v>
      </c>
      <c r="C37" s="18" t="s">
        <v>267</v>
      </c>
      <c r="D37" s="18"/>
      <c r="E37" s="19">
        <v>17</v>
      </c>
      <c r="F37" s="19">
        <v>17</v>
      </c>
      <c r="G37" s="19">
        <v>17</v>
      </c>
      <c r="H37" s="19">
        <v>17</v>
      </c>
      <c r="I37" s="19">
        <v>17</v>
      </c>
    </row>
    <row r="38" spans="1:10" hidden="1" x14ac:dyDescent="0.45">
      <c r="A38" s="18" t="s">
        <v>268</v>
      </c>
      <c r="B38" s="18" t="s">
        <v>269</v>
      </c>
      <c r="C38" s="18" t="s">
        <v>237</v>
      </c>
      <c r="D38" s="18"/>
      <c r="E38" s="18"/>
      <c r="F38" s="19">
        <v>720</v>
      </c>
      <c r="G38" s="19">
        <v>720</v>
      </c>
      <c r="H38" s="19">
        <v>720</v>
      </c>
      <c r="I38" s="19">
        <v>720</v>
      </c>
    </row>
    <row r="39" spans="1:10" hidden="1" x14ac:dyDescent="0.45">
      <c r="A39" s="20" t="s">
        <v>47</v>
      </c>
      <c r="B39" s="20"/>
      <c r="C39" s="20"/>
      <c r="D39" s="20">
        <v>472</v>
      </c>
      <c r="E39" s="20">
        <v>526</v>
      </c>
      <c r="F39" s="20">
        <v>1246</v>
      </c>
      <c r="G39" s="20">
        <v>1246</v>
      </c>
      <c r="H39" s="20">
        <v>124</v>
      </c>
      <c r="I39" s="20">
        <v>1225</v>
      </c>
    </row>
    <row r="40" spans="1:10" hidden="1" x14ac:dyDescent="0.45">
      <c r="A40" s="23" t="s">
        <v>270</v>
      </c>
      <c r="B40" s="23"/>
      <c r="C40" s="23"/>
      <c r="D40" s="24">
        <v>9861</v>
      </c>
      <c r="E40" s="24">
        <v>9915</v>
      </c>
      <c r="F40" s="24">
        <v>10635</v>
      </c>
      <c r="G40" s="24">
        <v>10635</v>
      </c>
      <c r="H40" s="24">
        <v>10635</v>
      </c>
      <c r="I40" s="24">
        <v>10614</v>
      </c>
      <c r="J40">
        <f>I40/8760</f>
        <v>1.2116438356164383</v>
      </c>
    </row>
    <row r="41" spans="1:10" hidden="1" x14ac:dyDescent="0.45">
      <c r="A41" s="62" t="s">
        <v>49</v>
      </c>
      <c r="B41" s="63"/>
      <c r="C41" s="63"/>
      <c r="D41" s="63"/>
      <c r="E41" s="63"/>
      <c r="F41" s="63"/>
      <c r="G41" s="63"/>
      <c r="H41" s="63"/>
      <c r="I41" s="64"/>
    </row>
    <row r="42" spans="1:10" hidden="1" x14ac:dyDescent="0.45">
      <c r="A42" s="67"/>
      <c r="B42" s="68"/>
      <c r="C42" s="68"/>
      <c r="D42" s="68"/>
      <c r="E42" s="68"/>
      <c r="F42" s="68"/>
      <c r="G42" s="68"/>
      <c r="H42" s="68"/>
      <c r="I42" s="69"/>
    </row>
    <row r="43" spans="1:10" hidden="1" x14ac:dyDescent="0.45">
      <c r="A43" s="25" t="s">
        <v>50</v>
      </c>
      <c r="B43" s="25" t="s">
        <v>271</v>
      </c>
      <c r="C43" s="25" t="s">
        <v>272</v>
      </c>
      <c r="D43" s="25">
        <v>880</v>
      </c>
      <c r="E43" s="25">
        <v>880</v>
      </c>
      <c r="F43" s="25">
        <v>880</v>
      </c>
      <c r="G43" s="25">
        <v>880</v>
      </c>
      <c r="H43" s="25">
        <v>880</v>
      </c>
      <c r="I43" s="25">
        <v>300</v>
      </c>
    </row>
    <row r="44" spans="1:10" hidden="1" x14ac:dyDescent="0.45">
      <c r="A44" s="25" t="s">
        <v>53</v>
      </c>
      <c r="B44" s="25" t="s">
        <v>273</v>
      </c>
      <c r="C44" s="25" t="s">
        <v>274</v>
      </c>
      <c r="D44" s="25">
        <v>600</v>
      </c>
      <c r="E44" s="25">
        <v>600</v>
      </c>
      <c r="F44" s="25">
        <v>600</v>
      </c>
      <c r="G44" s="25">
        <v>600</v>
      </c>
      <c r="H44" s="25">
        <v>600</v>
      </c>
      <c r="I44" s="25">
        <v>640</v>
      </c>
    </row>
    <row r="45" spans="1:10" hidden="1" x14ac:dyDescent="0.45">
      <c r="A45" s="25" t="s">
        <v>55</v>
      </c>
      <c r="B45" s="25" t="s">
        <v>273</v>
      </c>
      <c r="C45" s="25" t="s">
        <v>275</v>
      </c>
      <c r="D45" s="25">
        <v>415</v>
      </c>
      <c r="E45" s="25">
        <v>415</v>
      </c>
      <c r="F45" s="25">
        <v>415</v>
      </c>
      <c r="G45" s="25">
        <v>415</v>
      </c>
      <c r="H45" s="25">
        <v>415</v>
      </c>
      <c r="I45" s="25">
        <v>415</v>
      </c>
    </row>
    <row r="46" spans="1:10" hidden="1" x14ac:dyDescent="0.45">
      <c r="A46" s="25" t="s">
        <v>56</v>
      </c>
      <c r="B46" s="25" t="s">
        <v>273</v>
      </c>
      <c r="C46" s="25" t="s">
        <v>276</v>
      </c>
      <c r="D46" s="25">
        <v>747</v>
      </c>
      <c r="E46" s="25">
        <v>747</v>
      </c>
      <c r="F46" s="25">
        <v>747</v>
      </c>
      <c r="G46" s="25">
        <v>747</v>
      </c>
      <c r="H46" s="25">
        <v>747</v>
      </c>
      <c r="I46" s="25">
        <v>721</v>
      </c>
    </row>
    <row r="47" spans="1:10" hidden="1" x14ac:dyDescent="0.45">
      <c r="A47" s="25" t="s">
        <v>277</v>
      </c>
      <c r="B47" s="25" t="s">
        <v>278</v>
      </c>
      <c r="C47" s="25" t="s">
        <v>279</v>
      </c>
      <c r="D47" s="25">
        <v>28</v>
      </c>
      <c r="E47" s="25">
        <v>28</v>
      </c>
      <c r="F47" s="25">
        <v>28</v>
      </c>
      <c r="G47" s="25">
        <v>28</v>
      </c>
      <c r="H47" s="25">
        <v>28</v>
      </c>
      <c r="I47" s="25">
        <v>25</v>
      </c>
    </row>
    <row r="48" spans="1:10" hidden="1" x14ac:dyDescent="0.45">
      <c r="A48" s="25" t="s">
        <v>59</v>
      </c>
      <c r="B48" s="25" t="s">
        <v>280</v>
      </c>
      <c r="C48" s="25" t="s">
        <v>272</v>
      </c>
      <c r="D48" s="25">
        <v>1350</v>
      </c>
      <c r="E48" s="25">
        <v>1350</v>
      </c>
      <c r="F48" s="25">
        <v>1350</v>
      </c>
      <c r="G48" s="25">
        <v>1350</v>
      </c>
      <c r="H48" s="25">
        <v>1350</v>
      </c>
      <c r="I48" s="25">
        <v>450</v>
      </c>
    </row>
    <row r="49" spans="1:10" hidden="1" x14ac:dyDescent="0.45">
      <c r="A49" s="25" t="s">
        <v>60</v>
      </c>
      <c r="B49" s="25" t="s">
        <v>281</v>
      </c>
      <c r="C49" s="25" t="s">
        <v>274</v>
      </c>
      <c r="D49" s="25">
        <v>144</v>
      </c>
      <c r="E49" s="25">
        <v>144</v>
      </c>
      <c r="F49" s="25">
        <v>144</v>
      </c>
      <c r="G49" s="25">
        <v>0</v>
      </c>
      <c r="H49" s="25">
        <v>0</v>
      </c>
      <c r="I49" s="25">
        <v>0</v>
      </c>
    </row>
    <row r="50" spans="1:10" hidden="1" x14ac:dyDescent="0.45">
      <c r="A50" s="25" t="s">
        <v>61</v>
      </c>
      <c r="B50" s="25" t="s">
        <v>282</v>
      </c>
      <c r="C50" s="25" t="s">
        <v>274</v>
      </c>
      <c r="D50" s="25">
        <v>567</v>
      </c>
      <c r="E50" s="25">
        <v>567</v>
      </c>
      <c r="F50" s="25">
        <v>567</v>
      </c>
      <c r="G50" s="25">
        <v>567</v>
      </c>
      <c r="H50" s="25">
        <v>567</v>
      </c>
      <c r="I50" s="25">
        <v>500</v>
      </c>
    </row>
    <row r="51" spans="1:10" hidden="1" x14ac:dyDescent="0.45">
      <c r="A51" s="25" t="s">
        <v>283</v>
      </c>
      <c r="B51" s="25" t="s">
        <v>284</v>
      </c>
      <c r="C51" s="25" t="s">
        <v>272</v>
      </c>
      <c r="D51" s="25">
        <v>150</v>
      </c>
      <c r="E51" s="25">
        <v>150</v>
      </c>
      <c r="F51" s="25">
        <v>0</v>
      </c>
      <c r="G51" s="25">
        <v>0</v>
      </c>
      <c r="H51" s="25">
        <v>0</v>
      </c>
      <c r="I51" s="25">
        <v>0</v>
      </c>
    </row>
    <row r="52" spans="1:10" hidden="1" x14ac:dyDescent="0.45">
      <c r="A52" s="80" t="s">
        <v>62</v>
      </c>
      <c r="B52" s="77"/>
      <c r="C52" s="78"/>
      <c r="D52" s="20">
        <v>4881</v>
      </c>
      <c r="E52" s="20">
        <v>4881</v>
      </c>
      <c r="F52" s="20">
        <v>4731</v>
      </c>
      <c r="G52" s="20">
        <v>4587</v>
      </c>
      <c r="H52" s="20">
        <v>4587</v>
      </c>
      <c r="I52" s="20">
        <v>2636</v>
      </c>
    </row>
    <row r="53" spans="1:10" hidden="1" x14ac:dyDescent="0.45">
      <c r="A53" s="62" t="s">
        <v>63</v>
      </c>
      <c r="B53" s="63"/>
      <c r="C53" s="63"/>
      <c r="D53" s="63"/>
      <c r="E53" s="63"/>
      <c r="F53" s="63"/>
      <c r="G53" s="63"/>
      <c r="H53" s="63"/>
      <c r="I53" s="64"/>
    </row>
    <row r="54" spans="1:10" hidden="1" x14ac:dyDescent="0.45">
      <c r="A54" s="67"/>
      <c r="B54" s="68"/>
      <c r="C54" s="68"/>
      <c r="D54" s="68"/>
      <c r="E54" s="68"/>
      <c r="F54" s="68"/>
      <c r="G54" s="68"/>
      <c r="H54" s="68"/>
      <c r="I54" s="69"/>
    </row>
    <row r="55" spans="1:10" hidden="1" x14ac:dyDescent="0.45">
      <c r="A55" s="25" t="s">
        <v>64</v>
      </c>
      <c r="B55" s="25" t="s">
        <v>285</v>
      </c>
      <c r="C55" s="25" t="s">
        <v>286</v>
      </c>
      <c r="D55" s="25">
        <v>362</v>
      </c>
      <c r="E55" s="25">
        <v>362</v>
      </c>
      <c r="F55" s="25">
        <v>362</v>
      </c>
      <c r="G55" s="25">
        <v>362</v>
      </c>
      <c r="H55" s="25">
        <v>362</v>
      </c>
      <c r="I55" s="25">
        <v>350</v>
      </c>
      <c r="J55" t="s">
        <v>430</v>
      </c>
    </row>
    <row r="56" spans="1:10" hidden="1" x14ac:dyDescent="0.45">
      <c r="A56" s="25" t="s">
        <v>65</v>
      </c>
      <c r="B56" s="25" t="s">
        <v>285</v>
      </c>
      <c r="C56" s="25" t="s">
        <v>286</v>
      </c>
      <c r="D56" s="25">
        <v>365</v>
      </c>
      <c r="E56" s="25">
        <v>365</v>
      </c>
      <c r="F56" s="25">
        <v>365</v>
      </c>
      <c r="G56" s="25">
        <v>365</v>
      </c>
      <c r="H56" s="25">
        <v>365</v>
      </c>
      <c r="I56" s="25">
        <v>350</v>
      </c>
    </row>
    <row r="57" spans="1:10" hidden="1" x14ac:dyDescent="0.45">
      <c r="A57" s="25" t="s">
        <v>66</v>
      </c>
      <c r="B57" s="25" t="s">
        <v>287</v>
      </c>
      <c r="C57" s="25" t="s">
        <v>288</v>
      </c>
      <c r="D57" s="25">
        <v>31</v>
      </c>
      <c r="E57" s="25">
        <v>31</v>
      </c>
      <c r="F57" s="25">
        <v>0</v>
      </c>
      <c r="G57" s="25">
        <v>0</v>
      </c>
      <c r="H57" s="25">
        <v>0</v>
      </c>
      <c r="I57" s="25">
        <v>0</v>
      </c>
      <c r="J57" t="s">
        <v>431</v>
      </c>
    </row>
    <row r="58" spans="1:10" hidden="1" x14ac:dyDescent="0.45">
      <c r="A58" s="25" t="s">
        <v>67</v>
      </c>
      <c r="B58" s="25" t="s">
        <v>289</v>
      </c>
      <c r="C58" s="25" t="s">
        <v>290</v>
      </c>
      <c r="D58" s="25">
        <v>170</v>
      </c>
      <c r="E58" s="25">
        <v>170</v>
      </c>
      <c r="F58" s="25">
        <v>170</v>
      </c>
      <c r="G58" s="25">
        <v>170</v>
      </c>
      <c r="H58" s="25">
        <v>170</v>
      </c>
      <c r="I58" s="25">
        <v>151</v>
      </c>
      <c r="J58" t="s">
        <v>432</v>
      </c>
    </row>
    <row r="59" spans="1:10" hidden="1" x14ac:dyDescent="0.45">
      <c r="A59" s="25" t="s">
        <v>68</v>
      </c>
      <c r="B59" s="25" t="s">
        <v>278</v>
      </c>
      <c r="C59" s="25" t="s">
        <v>290</v>
      </c>
      <c r="D59" s="25">
        <v>155</v>
      </c>
      <c r="E59" s="25">
        <v>155</v>
      </c>
      <c r="F59" s="25">
        <v>155</v>
      </c>
      <c r="G59" s="25">
        <v>0</v>
      </c>
      <c r="H59" s="25">
        <v>0</v>
      </c>
      <c r="I59" s="25">
        <v>0</v>
      </c>
    </row>
    <row r="60" spans="1:10" hidden="1" x14ac:dyDescent="0.45">
      <c r="A60" s="25" t="s">
        <v>69</v>
      </c>
      <c r="B60" s="25" t="s">
        <v>291</v>
      </c>
      <c r="C60" s="25" t="s">
        <v>272</v>
      </c>
      <c r="D60" s="25">
        <v>1292</v>
      </c>
      <c r="E60" s="25">
        <v>1292</v>
      </c>
      <c r="F60" s="25">
        <v>1292</v>
      </c>
      <c r="G60" s="25">
        <v>1292</v>
      </c>
      <c r="H60" s="25">
        <v>1292</v>
      </c>
      <c r="I60" s="25">
        <v>1200</v>
      </c>
    </row>
    <row r="61" spans="1:10" hidden="1" x14ac:dyDescent="0.45">
      <c r="A61" s="25" t="s">
        <v>292</v>
      </c>
      <c r="B61" s="25" t="s">
        <v>293</v>
      </c>
      <c r="C61" s="25" t="s">
        <v>294</v>
      </c>
      <c r="D61" s="25">
        <v>120</v>
      </c>
      <c r="E61" s="25">
        <v>120</v>
      </c>
      <c r="F61" s="25">
        <v>0</v>
      </c>
      <c r="G61" s="25">
        <v>0</v>
      </c>
      <c r="H61" s="25">
        <v>0</v>
      </c>
      <c r="I61" s="25">
        <v>0</v>
      </c>
      <c r="J61" t="s">
        <v>433</v>
      </c>
    </row>
    <row r="62" spans="1:10" hidden="1" x14ac:dyDescent="0.45">
      <c r="A62" s="25" t="s">
        <v>70</v>
      </c>
      <c r="B62" s="25" t="s">
        <v>295</v>
      </c>
      <c r="C62" s="25" t="s">
        <v>274</v>
      </c>
      <c r="D62" s="25">
        <v>1600</v>
      </c>
      <c r="E62" s="25">
        <v>1600</v>
      </c>
      <c r="F62" s="25">
        <v>1600</v>
      </c>
      <c r="G62" s="25">
        <v>1600</v>
      </c>
      <c r="H62" s="25">
        <v>1600</v>
      </c>
      <c r="I62" s="25">
        <v>0</v>
      </c>
    </row>
    <row r="63" spans="1:10" hidden="1" x14ac:dyDescent="0.45">
      <c r="A63" s="25" t="s">
        <v>72</v>
      </c>
      <c r="B63" s="25" t="s">
        <v>293</v>
      </c>
      <c r="C63" s="25" t="s">
        <v>296</v>
      </c>
      <c r="D63" s="25">
        <v>131</v>
      </c>
      <c r="E63" s="25">
        <v>131</v>
      </c>
      <c r="F63" s="25">
        <v>131</v>
      </c>
      <c r="G63" s="25">
        <v>131</v>
      </c>
      <c r="H63" s="25">
        <v>131</v>
      </c>
      <c r="I63" s="25">
        <v>124</v>
      </c>
    </row>
    <row r="64" spans="1:10" hidden="1" x14ac:dyDescent="0.45">
      <c r="A64" s="25" t="s">
        <v>73</v>
      </c>
      <c r="B64" s="25" t="s">
        <v>297</v>
      </c>
      <c r="C64" s="25" t="s">
        <v>298</v>
      </c>
      <c r="D64" s="25">
        <v>450</v>
      </c>
      <c r="E64" s="25">
        <v>450</v>
      </c>
      <c r="F64" s="25">
        <v>450</v>
      </c>
      <c r="G64" s="25">
        <v>450</v>
      </c>
      <c r="H64" s="25">
        <v>450</v>
      </c>
      <c r="I64" s="25">
        <v>395</v>
      </c>
    </row>
    <row r="65" spans="1:10" hidden="1" x14ac:dyDescent="0.45">
      <c r="A65" s="25" t="s">
        <v>74</v>
      </c>
      <c r="B65" s="25" t="s">
        <v>299</v>
      </c>
      <c r="C65" s="25" t="s">
        <v>286</v>
      </c>
      <c r="D65" s="25">
        <v>136</v>
      </c>
      <c r="E65" s="25">
        <v>136</v>
      </c>
      <c r="F65" s="25">
        <v>136</v>
      </c>
      <c r="G65" s="25">
        <v>136</v>
      </c>
      <c r="H65" s="25">
        <v>136</v>
      </c>
      <c r="I65" s="25">
        <v>125</v>
      </c>
    </row>
    <row r="66" spans="1:10" hidden="1" x14ac:dyDescent="0.45">
      <c r="A66" s="25" t="s">
        <v>300</v>
      </c>
      <c r="B66" s="25" t="s">
        <v>293</v>
      </c>
      <c r="C66" s="25" t="s">
        <v>301</v>
      </c>
      <c r="D66" s="25">
        <v>117</v>
      </c>
      <c r="E66" s="25">
        <v>117</v>
      </c>
      <c r="F66" s="25">
        <v>0</v>
      </c>
      <c r="G66" s="25">
        <v>0</v>
      </c>
      <c r="H66" s="25">
        <v>0</v>
      </c>
      <c r="I66" s="25">
        <v>0</v>
      </c>
    </row>
    <row r="67" spans="1:10" hidden="1" x14ac:dyDescent="0.45">
      <c r="A67" s="25" t="s">
        <v>75</v>
      </c>
      <c r="B67" s="25" t="s">
        <v>302</v>
      </c>
      <c r="C67" s="25" t="s">
        <v>290</v>
      </c>
      <c r="D67" s="25">
        <v>235</v>
      </c>
      <c r="E67" s="25">
        <v>235</v>
      </c>
      <c r="F67" s="25">
        <v>235</v>
      </c>
      <c r="G67" s="25">
        <v>235</v>
      </c>
      <c r="H67" s="25">
        <v>235</v>
      </c>
      <c r="I67" s="25">
        <v>212</v>
      </c>
    </row>
    <row r="68" spans="1:10" hidden="1" x14ac:dyDescent="0.45">
      <c r="A68" s="25" t="s">
        <v>76</v>
      </c>
      <c r="B68" s="25" t="s">
        <v>303</v>
      </c>
      <c r="C68" s="25" t="s">
        <v>298</v>
      </c>
      <c r="D68" s="25">
        <v>586</v>
      </c>
      <c r="E68" s="25">
        <v>586</v>
      </c>
      <c r="F68" s="25">
        <v>586</v>
      </c>
      <c r="G68" s="25">
        <v>586</v>
      </c>
      <c r="H68" s="25">
        <v>586</v>
      </c>
      <c r="I68" s="25">
        <v>547</v>
      </c>
    </row>
    <row r="69" spans="1:10" hidden="1" x14ac:dyDescent="0.45">
      <c r="A69" s="25" t="s">
        <v>77</v>
      </c>
      <c r="B69" s="25" t="s">
        <v>304</v>
      </c>
      <c r="C69" s="25" t="s">
        <v>305</v>
      </c>
      <c r="D69" s="25">
        <v>165</v>
      </c>
      <c r="E69" s="25">
        <v>165</v>
      </c>
      <c r="F69" s="25">
        <v>165</v>
      </c>
      <c r="G69" s="25">
        <v>165</v>
      </c>
      <c r="H69" s="25">
        <v>165</v>
      </c>
      <c r="I69" s="25">
        <v>156</v>
      </c>
      <c r="J69" t="s">
        <v>434</v>
      </c>
    </row>
    <row r="70" spans="1:10" hidden="1" x14ac:dyDescent="0.45">
      <c r="A70" s="25" t="s">
        <v>78</v>
      </c>
      <c r="B70" s="25" t="s">
        <v>306</v>
      </c>
      <c r="C70" s="25" t="s">
        <v>307</v>
      </c>
      <c r="D70" s="25">
        <v>224</v>
      </c>
      <c r="E70" s="25">
        <v>224</v>
      </c>
      <c r="F70" s="25">
        <v>224</v>
      </c>
      <c r="G70" s="25">
        <v>224</v>
      </c>
      <c r="H70" s="25">
        <v>224</v>
      </c>
      <c r="I70" s="25">
        <v>214</v>
      </c>
    </row>
    <row r="71" spans="1:10" hidden="1" x14ac:dyDescent="0.45">
      <c r="A71" s="25" t="s">
        <v>308</v>
      </c>
      <c r="B71" s="25" t="s">
        <v>309</v>
      </c>
      <c r="C71" s="25" t="s">
        <v>310</v>
      </c>
      <c r="D71" s="25">
        <v>227</v>
      </c>
      <c r="E71" s="25">
        <v>227</v>
      </c>
      <c r="F71" s="25">
        <v>227</v>
      </c>
      <c r="G71" s="25">
        <v>227</v>
      </c>
      <c r="H71" s="25">
        <v>227</v>
      </c>
      <c r="I71" s="25">
        <v>212</v>
      </c>
    </row>
    <row r="72" spans="1:10" hidden="1" x14ac:dyDescent="0.45">
      <c r="A72" s="25" t="s">
        <v>80</v>
      </c>
      <c r="B72" s="25" t="s">
        <v>311</v>
      </c>
      <c r="C72" s="25" t="s">
        <v>298</v>
      </c>
      <c r="D72" s="25">
        <v>225</v>
      </c>
      <c r="E72" s="25">
        <v>225</v>
      </c>
      <c r="F72" s="25">
        <v>225</v>
      </c>
      <c r="G72" s="25">
        <v>225</v>
      </c>
      <c r="H72" s="25">
        <v>225</v>
      </c>
      <c r="I72" s="25">
        <v>204</v>
      </c>
    </row>
    <row r="73" spans="1:10" hidden="1" x14ac:dyDescent="0.45">
      <c r="A73" s="25" t="s">
        <v>81</v>
      </c>
      <c r="B73" s="25" t="s">
        <v>312</v>
      </c>
      <c r="C73" s="25" t="s">
        <v>298</v>
      </c>
      <c r="D73" s="25">
        <v>225</v>
      </c>
      <c r="E73" s="25">
        <v>225</v>
      </c>
      <c r="F73" s="25">
        <v>225</v>
      </c>
      <c r="G73" s="25">
        <v>225</v>
      </c>
      <c r="H73" s="25">
        <v>225</v>
      </c>
      <c r="I73" s="25">
        <v>203</v>
      </c>
    </row>
    <row r="74" spans="1:10" hidden="1" x14ac:dyDescent="0.45">
      <c r="A74" s="25" t="s">
        <v>82</v>
      </c>
      <c r="B74" s="25" t="s">
        <v>313</v>
      </c>
      <c r="C74" s="25" t="s">
        <v>307</v>
      </c>
      <c r="D74" s="25">
        <v>202</v>
      </c>
      <c r="E74" s="25">
        <v>202</v>
      </c>
      <c r="F74" s="25">
        <v>202</v>
      </c>
      <c r="G74" s="25">
        <v>202</v>
      </c>
      <c r="H74" s="25">
        <v>202</v>
      </c>
      <c r="I74" s="25">
        <v>195</v>
      </c>
      <c r="J74" t="s">
        <v>435</v>
      </c>
    </row>
    <row r="75" spans="1:10" hidden="1" x14ac:dyDescent="0.45">
      <c r="A75" s="25" t="s">
        <v>83</v>
      </c>
      <c r="B75" s="25" t="s">
        <v>313</v>
      </c>
      <c r="C75" s="25" t="s">
        <v>296</v>
      </c>
      <c r="D75" s="25">
        <v>202</v>
      </c>
      <c r="E75" s="25">
        <v>202</v>
      </c>
      <c r="F75" s="25">
        <v>202</v>
      </c>
      <c r="G75" s="25">
        <v>202</v>
      </c>
      <c r="H75" s="25">
        <v>202</v>
      </c>
      <c r="I75" s="25">
        <v>196</v>
      </c>
    </row>
    <row r="76" spans="1:10" hidden="1" x14ac:dyDescent="0.45">
      <c r="A76" s="25" t="s">
        <v>84</v>
      </c>
      <c r="B76" s="25" t="s">
        <v>314</v>
      </c>
      <c r="C76" s="25" t="s">
        <v>298</v>
      </c>
      <c r="D76" s="25">
        <v>235</v>
      </c>
      <c r="E76" s="25">
        <v>235</v>
      </c>
      <c r="F76" s="25">
        <v>235</v>
      </c>
      <c r="G76" s="25">
        <v>235</v>
      </c>
      <c r="H76" s="25">
        <v>235</v>
      </c>
      <c r="I76" s="25">
        <v>202</v>
      </c>
    </row>
    <row r="77" spans="1:10" hidden="1" x14ac:dyDescent="0.45">
      <c r="A77" s="25" t="s">
        <v>85</v>
      </c>
      <c r="B77" s="25" t="s">
        <v>315</v>
      </c>
      <c r="C77" s="25" t="s">
        <v>298</v>
      </c>
      <c r="D77" s="25">
        <v>225</v>
      </c>
      <c r="E77" s="25">
        <v>225</v>
      </c>
      <c r="F77" s="25">
        <v>225</v>
      </c>
      <c r="G77" s="25">
        <v>225</v>
      </c>
      <c r="H77" s="25">
        <v>225</v>
      </c>
      <c r="I77" s="25">
        <v>200</v>
      </c>
    </row>
    <row r="78" spans="1:10" hidden="1" x14ac:dyDescent="0.45">
      <c r="A78" s="25" t="s">
        <v>86</v>
      </c>
      <c r="B78" s="25" t="s">
        <v>316</v>
      </c>
      <c r="C78" s="25" t="s">
        <v>296</v>
      </c>
      <c r="D78" s="25">
        <v>214</v>
      </c>
      <c r="E78" s="25">
        <v>214</v>
      </c>
      <c r="F78" s="25">
        <v>214</v>
      </c>
      <c r="G78" s="25">
        <v>214</v>
      </c>
      <c r="H78" s="25">
        <v>214</v>
      </c>
      <c r="I78" s="25">
        <v>214</v>
      </c>
    </row>
    <row r="79" spans="1:10" hidden="1" x14ac:dyDescent="0.45">
      <c r="A79" s="25" t="s">
        <v>87</v>
      </c>
      <c r="B79" s="25" t="s">
        <v>281</v>
      </c>
      <c r="C79" s="25" t="s">
        <v>296</v>
      </c>
      <c r="D79" s="25">
        <v>202</v>
      </c>
      <c r="E79" s="25">
        <v>202</v>
      </c>
      <c r="F79" s="25">
        <v>202</v>
      </c>
      <c r="G79" s="25">
        <v>202</v>
      </c>
      <c r="H79" s="25">
        <v>202</v>
      </c>
      <c r="I79" s="25">
        <v>196</v>
      </c>
    </row>
    <row r="80" spans="1:10" hidden="1" x14ac:dyDescent="0.45">
      <c r="A80" s="25" t="s">
        <v>88</v>
      </c>
      <c r="B80" s="25" t="s">
        <v>302</v>
      </c>
      <c r="C80" s="25" t="s">
        <v>310</v>
      </c>
      <c r="D80" s="25">
        <v>179</v>
      </c>
      <c r="E80" s="25">
        <v>179</v>
      </c>
      <c r="F80" s="25">
        <v>179</v>
      </c>
      <c r="G80" s="25">
        <v>179</v>
      </c>
      <c r="H80" s="25">
        <v>179</v>
      </c>
      <c r="I80" s="25">
        <v>168</v>
      </c>
    </row>
    <row r="81" spans="1:10" hidden="1" x14ac:dyDescent="0.45">
      <c r="A81" s="25" t="s">
        <v>317</v>
      </c>
      <c r="B81" s="25" t="s">
        <v>318</v>
      </c>
      <c r="C81" s="25" t="s">
        <v>288</v>
      </c>
      <c r="D81" s="25">
        <v>12</v>
      </c>
      <c r="E81" s="25">
        <v>12</v>
      </c>
      <c r="F81" s="25">
        <v>12</v>
      </c>
      <c r="G81" s="25">
        <v>0</v>
      </c>
      <c r="H81" s="25">
        <v>0</v>
      </c>
      <c r="I81" s="25">
        <v>0</v>
      </c>
    </row>
    <row r="82" spans="1:10" hidden="1" x14ac:dyDescent="0.45">
      <c r="A82" s="25" t="s">
        <v>89</v>
      </c>
      <c r="B82" s="25" t="s">
        <v>303</v>
      </c>
      <c r="C82" s="25" t="s">
        <v>298</v>
      </c>
      <c r="D82" s="25">
        <v>404</v>
      </c>
      <c r="E82" s="25">
        <v>404</v>
      </c>
      <c r="F82" s="25">
        <v>404</v>
      </c>
      <c r="G82" s="25">
        <v>404</v>
      </c>
      <c r="H82" s="25">
        <v>404</v>
      </c>
      <c r="I82" s="25">
        <v>372</v>
      </c>
    </row>
    <row r="83" spans="1:10" hidden="1" x14ac:dyDescent="0.45">
      <c r="A83" s="25" t="s">
        <v>319</v>
      </c>
      <c r="B83" s="25" t="s">
        <v>311</v>
      </c>
      <c r="C83" s="25" t="s">
        <v>272</v>
      </c>
      <c r="D83" s="25">
        <v>1320</v>
      </c>
      <c r="E83" s="25">
        <v>1320</v>
      </c>
      <c r="F83" s="25">
        <v>1320</v>
      </c>
      <c r="G83" s="25">
        <v>1320</v>
      </c>
      <c r="H83" s="25">
        <v>1320</v>
      </c>
      <c r="I83" s="25">
        <v>1244</v>
      </c>
    </row>
    <row r="84" spans="1:10" hidden="1" x14ac:dyDescent="0.45">
      <c r="A84" s="25" t="s">
        <v>93</v>
      </c>
      <c r="B84" s="25" t="s">
        <v>315</v>
      </c>
      <c r="C84" s="25" t="s">
        <v>320</v>
      </c>
      <c r="D84" s="25">
        <v>1231</v>
      </c>
      <c r="E84" s="25">
        <v>1231</v>
      </c>
      <c r="F84" s="25">
        <v>1231</v>
      </c>
      <c r="G84" s="25">
        <v>1231</v>
      </c>
      <c r="H84" s="25">
        <v>1231</v>
      </c>
      <c r="I84" s="25">
        <v>1163</v>
      </c>
      <c r="J84" t="s">
        <v>436</v>
      </c>
    </row>
    <row r="85" spans="1:10" hidden="1" x14ac:dyDescent="0.45">
      <c r="A85" s="25" t="s">
        <v>321</v>
      </c>
      <c r="B85" s="25" t="s">
        <v>322</v>
      </c>
      <c r="C85" s="25" t="s">
        <v>320</v>
      </c>
      <c r="D85" s="25">
        <v>1277</v>
      </c>
      <c r="E85" s="25">
        <v>1277</v>
      </c>
      <c r="F85" s="25">
        <v>1277</v>
      </c>
      <c r="G85" s="25">
        <v>1277</v>
      </c>
      <c r="H85" s="25">
        <v>1277</v>
      </c>
      <c r="I85" s="25">
        <v>1172</v>
      </c>
    </row>
    <row r="86" spans="1:10" hidden="1" x14ac:dyDescent="0.45">
      <c r="A86" s="25" t="s">
        <v>96</v>
      </c>
      <c r="B86" s="25" t="s">
        <v>312</v>
      </c>
      <c r="C86" s="25" t="s">
        <v>320</v>
      </c>
      <c r="D86" s="25">
        <v>1276</v>
      </c>
      <c r="E86" s="25">
        <v>1276</v>
      </c>
      <c r="F86" s="25">
        <v>1276</v>
      </c>
      <c r="G86" s="25">
        <v>1276</v>
      </c>
      <c r="H86" s="25">
        <v>1276</v>
      </c>
      <c r="I86" s="25">
        <v>1165</v>
      </c>
    </row>
    <row r="87" spans="1:10" hidden="1" x14ac:dyDescent="0.45">
      <c r="A87" s="25" t="s">
        <v>97</v>
      </c>
      <c r="B87" s="25" t="s">
        <v>323</v>
      </c>
      <c r="C87" s="25" t="s">
        <v>324</v>
      </c>
      <c r="D87" s="25">
        <v>1320</v>
      </c>
      <c r="E87" s="25">
        <v>1320</v>
      </c>
      <c r="F87" s="25">
        <v>1320</v>
      </c>
      <c r="G87" s="25">
        <v>1320</v>
      </c>
      <c r="H87" s="25">
        <v>1320</v>
      </c>
      <c r="I87" s="25">
        <v>1243</v>
      </c>
      <c r="J87" t="s">
        <v>437</v>
      </c>
    </row>
    <row r="88" spans="1:10" hidden="1" x14ac:dyDescent="0.45">
      <c r="A88" s="25" t="s">
        <v>99</v>
      </c>
      <c r="B88" s="25" t="s">
        <v>293</v>
      </c>
      <c r="C88" s="25" t="s">
        <v>325</v>
      </c>
      <c r="D88" s="25">
        <v>97</v>
      </c>
      <c r="E88" s="25">
        <v>97</v>
      </c>
      <c r="F88" s="25">
        <v>0</v>
      </c>
      <c r="G88" s="25">
        <v>0</v>
      </c>
      <c r="H88" s="25">
        <v>0</v>
      </c>
      <c r="I88" s="25">
        <v>0</v>
      </c>
    </row>
    <row r="89" spans="1:10" hidden="1" x14ac:dyDescent="0.45">
      <c r="A89" s="25" t="s">
        <v>326</v>
      </c>
      <c r="B89" s="25" t="s">
        <v>282</v>
      </c>
      <c r="C89" s="25" t="s">
        <v>325</v>
      </c>
      <c r="D89" s="25">
        <v>84</v>
      </c>
      <c r="E89" s="25">
        <v>84</v>
      </c>
      <c r="F89" s="25">
        <v>0</v>
      </c>
      <c r="G89" s="25">
        <v>0</v>
      </c>
      <c r="H89" s="25">
        <v>0</v>
      </c>
      <c r="I89" s="25">
        <v>0</v>
      </c>
    </row>
    <row r="90" spans="1:10" hidden="1" x14ac:dyDescent="0.45">
      <c r="A90" s="25" t="s">
        <v>101</v>
      </c>
      <c r="B90" s="25" t="s">
        <v>327</v>
      </c>
      <c r="C90" s="25" t="s">
        <v>324</v>
      </c>
      <c r="D90" s="25">
        <v>1320</v>
      </c>
      <c r="E90" s="25">
        <v>1320</v>
      </c>
      <c r="F90" s="25">
        <v>1320</v>
      </c>
      <c r="G90" s="25">
        <v>1320</v>
      </c>
      <c r="H90" s="25">
        <v>1320</v>
      </c>
      <c r="I90" s="25">
        <v>1249</v>
      </c>
    </row>
    <row r="91" spans="1:10" hidden="1" x14ac:dyDescent="0.45">
      <c r="A91" s="25" t="s">
        <v>103</v>
      </c>
      <c r="B91" s="25" t="s">
        <v>328</v>
      </c>
      <c r="C91" s="25" t="s">
        <v>324</v>
      </c>
      <c r="D91" s="25">
        <v>660</v>
      </c>
      <c r="E91" s="25">
        <v>660</v>
      </c>
      <c r="F91" s="25">
        <v>660</v>
      </c>
      <c r="G91" s="25">
        <v>660</v>
      </c>
      <c r="H91" s="25">
        <v>660</v>
      </c>
      <c r="I91" s="25">
        <v>603</v>
      </c>
    </row>
    <row r="92" spans="1:10" hidden="1" x14ac:dyDescent="0.45">
      <c r="A92" s="25" t="s">
        <v>105</v>
      </c>
      <c r="B92" s="25" t="s">
        <v>329</v>
      </c>
      <c r="C92" s="25" t="s">
        <v>324</v>
      </c>
      <c r="D92" s="25" t="s">
        <v>44</v>
      </c>
      <c r="E92" s="25" t="s">
        <v>44</v>
      </c>
      <c r="F92" s="25">
        <v>660</v>
      </c>
      <c r="G92" s="25">
        <v>660</v>
      </c>
      <c r="H92" s="25">
        <v>660</v>
      </c>
      <c r="I92" s="25">
        <v>605</v>
      </c>
    </row>
    <row r="93" spans="1:10" hidden="1" x14ac:dyDescent="0.45">
      <c r="A93" s="25" t="s">
        <v>107</v>
      </c>
      <c r="B93" s="25" t="s">
        <v>330</v>
      </c>
      <c r="C93" s="25" t="s">
        <v>320</v>
      </c>
      <c r="D93" s="25" t="s">
        <v>44</v>
      </c>
      <c r="E93" s="25" t="s">
        <v>44</v>
      </c>
      <c r="F93" s="25">
        <v>1263</v>
      </c>
      <c r="G93" s="25">
        <v>1263</v>
      </c>
      <c r="H93" s="25">
        <v>1263</v>
      </c>
      <c r="I93" s="25">
        <v>1243</v>
      </c>
    </row>
    <row r="94" spans="1:10" hidden="1" x14ac:dyDescent="0.45">
      <c r="A94" s="25" t="s">
        <v>108</v>
      </c>
      <c r="B94" s="25" t="s">
        <v>44</v>
      </c>
      <c r="C94" s="25" t="s">
        <v>44</v>
      </c>
      <c r="D94" s="25" t="s">
        <v>44</v>
      </c>
      <c r="E94" s="25">
        <v>330</v>
      </c>
      <c r="F94" s="25">
        <v>330</v>
      </c>
      <c r="G94" s="25">
        <v>300</v>
      </c>
      <c r="H94" s="25"/>
      <c r="I94" s="25"/>
    </row>
    <row r="95" spans="1:10" hidden="1" x14ac:dyDescent="0.45">
      <c r="A95" s="25" t="s">
        <v>109</v>
      </c>
      <c r="B95" s="25" t="s">
        <v>44</v>
      </c>
      <c r="C95" s="25" t="s">
        <v>44</v>
      </c>
      <c r="D95" s="25" t="s">
        <v>44</v>
      </c>
      <c r="E95" s="25">
        <v>1320</v>
      </c>
      <c r="F95" s="25">
        <v>1320</v>
      </c>
      <c r="G95" s="25">
        <v>1230</v>
      </c>
      <c r="H95" s="25"/>
      <c r="I95" s="25"/>
    </row>
    <row r="96" spans="1:10" hidden="1" x14ac:dyDescent="0.45">
      <c r="A96" s="25" t="s">
        <v>110</v>
      </c>
      <c r="B96" s="25" t="s">
        <v>44</v>
      </c>
      <c r="C96" s="25" t="s">
        <v>44</v>
      </c>
      <c r="D96" s="25" t="s">
        <v>44</v>
      </c>
      <c r="E96" s="25">
        <v>330</v>
      </c>
      <c r="F96" s="25">
        <v>330</v>
      </c>
      <c r="G96" s="25">
        <v>303</v>
      </c>
      <c r="H96" s="25"/>
      <c r="I96" s="25"/>
    </row>
    <row r="97" spans="1:10" hidden="1" x14ac:dyDescent="0.45">
      <c r="A97" s="20" t="s">
        <v>331</v>
      </c>
      <c r="B97" s="20"/>
      <c r="C97" s="20"/>
      <c r="D97" s="20">
        <v>17276</v>
      </c>
      <c r="E97" s="20">
        <v>17276</v>
      </c>
      <c r="F97" s="20">
        <v>18750</v>
      </c>
      <c r="G97" s="20">
        <v>20563</v>
      </c>
      <c r="H97" s="20">
        <v>20563</v>
      </c>
      <c r="I97" s="20">
        <v>17706</v>
      </c>
    </row>
    <row r="98" spans="1:10" hidden="1" x14ac:dyDescent="0.45">
      <c r="A98" s="23" t="s">
        <v>332</v>
      </c>
      <c r="B98" s="23"/>
      <c r="C98" s="23"/>
      <c r="D98" s="23">
        <v>22157</v>
      </c>
      <c r="E98" s="23">
        <v>22157</v>
      </c>
      <c r="F98" s="23">
        <v>23481</v>
      </c>
      <c r="G98" s="23">
        <v>25150</v>
      </c>
      <c r="H98" s="23">
        <v>25150</v>
      </c>
      <c r="I98" s="23">
        <v>20342</v>
      </c>
      <c r="J98">
        <f>I98+I203</f>
        <v>23480</v>
      </c>
    </row>
    <row r="99" spans="1:10" hidden="1" x14ac:dyDescent="0.45">
      <c r="A99" s="62" t="s">
        <v>113</v>
      </c>
      <c r="B99" s="63"/>
      <c r="C99" s="63"/>
      <c r="D99" s="63"/>
      <c r="E99" s="63"/>
      <c r="F99" s="63"/>
      <c r="G99" s="63"/>
      <c r="H99" s="63"/>
      <c r="I99" s="64"/>
    </row>
    <row r="100" spans="1:10" hidden="1" x14ac:dyDescent="0.45">
      <c r="A100" s="67"/>
      <c r="B100" s="68"/>
      <c r="C100" s="68"/>
      <c r="D100" s="68"/>
      <c r="E100" s="68"/>
      <c r="F100" s="68"/>
      <c r="G100" s="68"/>
      <c r="H100" s="68"/>
      <c r="I100" s="69"/>
    </row>
    <row r="101" spans="1:10" hidden="1" x14ac:dyDescent="0.45">
      <c r="A101" s="25" t="s">
        <v>114</v>
      </c>
      <c r="B101" s="25" t="s">
        <v>240</v>
      </c>
      <c r="C101" s="25" t="s">
        <v>272</v>
      </c>
      <c r="D101" s="25">
        <v>325</v>
      </c>
      <c r="E101" s="25">
        <v>325</v>
      </c>
      <c r="F101" s="25">
        <v>325</v>
      </c>
      <c r="G101" s="25">
        <v>325</v>
      </c>
      <c r="H101" s="25">
        <v>325</v>
      </c>
      <c r="I101" s="25">
        <v>301</v>
      </c>
    </row>
    <row r="102" spans="1:10" hidden="1" x14ac:dyDescent="0.45">
      <c r="A102" s="25" t="s">
        <v>116</v>
      </c>
      <c r="B102" s="25" t="s">
        <v>240</v>
      </c>
      <c r="C102" s="25" t="s">
        <v>272</v>
      </c>
      <c r="D102" s="25">
        <v>325</v>
      </c>
      <c r="E102" s="25">
        <v>325</v>
      </c>
      <c r="F102" s="25">
        <v>325</v>
      </c>
      <c r="G102" s="25">
        <v>325</v>
      </c>
      <c r="H102" s="25">
        <v>325</v>
      </c>
      <c r="I102" s="25">
        <v>315</v>
      </c>
    </row>
    <row r="103" spans="1:10" hidden="1" x14ac:dyDescent="0.45">
      <c r="A103" s="25" t="s">
        <v>117</v>
      </c>
      <c r="B103" s="25" t="s">
        <v>240</v>
      </c>
      <c r="C103" s="25" t="s">
        <v>272</v>
      </c>
      <c r="D103" s="25">
        <v>340</v>
      </c>
      <c r="E103" s="25">
        <v>340</v>
      </c>
      <c r="F103" s="25">
        <v>340</v>
      </c>
      <c r="G103" s="25">
        <v>340</v>
      </c>
      <c r="H103" s="25">
        <v>340</v>
      </c>
      <c r="I103" s="25">
        <v>315</v>
      </c>
    </row>
    <row r="104" spans="1:10" hidden="1" x14ac:dyDescent="0.45">
      <c r="A104" s="25" t="s">
        <v>118</v>
      </c>
      <c r="B104" s="25" t="s">
        <v>240</v>
      </c>
      <c r="C104" s="25" t="s">
        <v>272</v>
      </c>
      <c r="D104" s="25">
        <v>340</v>
      </c>
      <c r="E104" s="25">
        <v>340</v>
      </c>
      <c r="F104" s="25">
        <v>340</v>
      </c>
      <c r="G104" s="25">
        <v>340</v>
      </c>
      <c r="H104" s="25">
        <v>340</v>
      </c>
      <c r="I104" s="25">
        <v>315</v>
      </c>
    </row>
    <row r="105" spans="1:10" hidden="1" x14ac:dyDescent="0.45">
      <c r="A105" s="25" t="s">
        <v>119</v>
      </c>
      <c r="B105" s="25" t="s">
        <v>333</v>
      </c>
      <c r="C105" s="25" t="s">
        <v>272</v>
      </c>
      <c r="D105" s="25">
        <v>137</v>
      </c>
      <c r="E105" s="25">
        <v>137</v>
      </c>
      <c r="F105" s="25">
        <v>0</v>
      </c>
      <c r="G105" s="25">
        <v>0</v>
      </c>
      <c r="H105" s="25">
        <v>0</v>
      </c>
      <c r="I105" s="25">
        <v>0</v>
      </c>
    </row>
    <row r="106" spans="1:10" hidden="1" x14ac:dyDescent="0.45">
      <c r="A106" s="25" t="s">
        <v>120</v>
      </c>
      <c r="B106" s="25" t="s">
        <v>333</v>
      </c>
      <c r="C106" s="25" t="s">
        <v>272</v>
      </c>
      <c r="D106" s="25" t="s">
        <v>44</v>
      </c>
      <c r="E106" s="25">
        <v>1145</v>
      </c>
      <c r="F106" s="25">
        <v>1145</v>
      </c>
      <c r="G106" s="25">
        <v>1145</v>
      </c>
      <c r="H106" s="25">
        <v>1145</v>
      </c>
      <c r="I106" s="25">
        <v>1040</v>
      </c>
    </row>
    <row r="107" spans="1:10" hidden="1" x14ac:dyDescent="0.45">
      <c r="A107" s="25" t="s">
        <v>121</v>
      </c>
      <c r="B107" s="25" t="s">
        <v>333</v>
      </c>
      <c r="C107" s="25" t="s">
        <v>272</v>
      </c>
      <c r="D107" s="25" t="s">
        <v>44</v>
      </c>
      <c r="E107" s="25" t="s">
        <v>44</v>
      </c>
      <c r="F107" s="25">
        <v>1145</v>
      </c>
      <c r="G107" s="25">
        <v>1145</v>
      </c>
      <c r="H107" s="25">
        <v>1145</v>
      </c>
      <c r="I107" s="25">
        <v>1040</v>
      </c>
    </row>
    <row r="108" spans="1:10" hidden="1" x14ac:dyDescent="0.45">
      <c r="A108" s="23" t="s">
        <v>122</v>
      </c>
      <c r="B108" s="23"/>
      <c r="C108" s="23"/>
      <c r="D108" s="23">
        <v>1467</v>
      </c>
      <c r="E108" s="23">
        <v>2612</v>
      </c>
      <c r="F108" s="23">
        <v>3620</v>
      </c>
      <c r="G108" s="23">
        <v>3620</v>
      </c>
      <c r="H108" s="23">
        <v>3620</v>
      </c>
      <c r="I108" s="23">
        <v>3326</v>
      </c>
    </row>
    <row r="109" spans="1:10" hidden="1" x14ac:dyDescent="0.45">
      <c r="A109" s="62" t="s">
        <v>334</v>
      </c>
      <c r="B109" s="63"/>
      <c r="C109" s="63"/>
      <c r="D109" s="63"/>
      <c r="E109" s="63"/>
      <c r="F109" s="63"/>
      <c r="G109" s="63"/>
      <c r="H109" s="63"/>
      <c r="I109" s="64"/>
    </row>
    <row r="110" spans="1:10" hidden="1" x14ac:dyDescent="0.45">
      <c r="A110" s="67"/>
      <c r="B110" s="68"/>
      <c r="C110" s="68"/>
      <c r="D110" s="68"/>
      <c r="E110" s="68"/>
      <c r="F110" s="68"/>
      <c r="G110" s="68"/>
      <c r="H110" s="68"/>
      <c r="I110" s="69"/>
    </row>
    <row r="111" spans="1:10" hidden="1" x14ac:dyDescent="0.45">
      <c r="A111" s="76" t="s">
        <v>335</v>
      </c>
      <c r="B111" s="77"/>
      <c r="C111" s="77"/>
      <c r="D111" s="77"/>
      <c r="E111" s="77"/>
      <c r="F111" s="77"/>
      <c r="G111" s="77"/>
      <c r="H111" s="77"/>
      <c r="I111" s="78"/>
    </row>
    <row r="112" spans="1:10" hidden="1" x14ac:dyDescent="0.45">
      <c r="A112" s="25" t="s">
        <v>128</v>
      </c>
      <c r="B112" s="25" t="s">
        <v>336</v>
      </c>
      <c r="C112" s="25" t="s">
        <v>337</v>
      </c>
      <c r="D112" s="25">
        <v>56</v>
      </c>
      <c r="E112" s="25">
        <v>56</v>
      </c>
      <c r="F112" s="25">
        <v>56</v>
      </c>
      <c r="G112" s="25">
        <v>56</v>
      </c>
      <c r="H112" s="25">
        <v>56</v>
      </c>
      <c r="I112" s="25">
        <v>56</v>
      </c>
    </row>
    <row r="113" spans="1:9" hidden="1" x14ac:dyDescent="0.45">
      <c r="A113" s="25" t="s">
        <v>130</v>
      </c>
      <c r="B113" s="25" t="s">
        <v>336</v>
      </c>
      <c r="C113" s="25" t="s">
        <v>337</v>
      </c>
      <c r="D113" s="25">
        <v>50</v>
      </c>
      <c r="E113" s="25">
        <v>50</v>
      </c>
      <c r="F113" s="25">
        <v>50</v>
      </c>
      <c r="G113" s="25">
        <v>50</v>
      </c>
      <c r="H113" s="25">
        <v>50</v>
      </c>
      <c r="I113" s="25">
        <v>50</v>
      </c>
    </row>
    <row r="114" spans="1:9" hidden="1" x14ac:dyDescent="0.45">
      <c r="A114" s="25" t="s">
        <v>131</v>
      </c>
      <c r="B114" s="25" t="s">
        <v>336</v>
      </c>
      <c r="C114" s="25" t="s">
        <v>337</v>
      </c>
      <c r="D114" s="25">
        <v>60</v>
      </c>
      <c r="E114" s="25">
        <v>60</v>
      </c>
      <c r="F114" s="25">
        <v>50</v>
      </c>
      <c r="G114" s="25">
        <v>50</v>
      </c>
      <c r="H114" s="25">
        <v>50</v>
      </c>
      <c r="I114" s="25">
        <v>50</v>
      </c>
    </row>
    <row r="115" spans="1:9" hidden="1" x14ac:dyDescent="0.45">
      <c r="A115" s="25" t="s">
        <v>132</v>
      </c>
      <c r="B115" s="25" t="s">
        <v>336</v>
      </c>
      <c r="C115" s="25" t="s">
        <v>337</v>
      </c>
      <c r="D115" s="25">
        <v>50</v>
      </c>
      <c r="E115" s="25">
        <v>50</v>
      </c>
      <c r="F115" s="25">
        <v>50</v>
      </c>
      <c r="G115" s="25">
        <v>50</v>
      </c>
      <c r="H115" s="25">
        <v>50</v>
      </c>
      <c r="I115" s="25">
        <v>50</v>
      </c>
    </row>
    <row r="116" spans="1:9" hidden="1" x14ac:dyDescent="0.45">
      <c r="A116" s="25" t="s">
        <v>133</v>
      </c>
      <c r="B116" s="25" t="s">
        <v>336</v>
      </c>
      <c r="C116" s="25" t="s">
        <v>337</v>
      </c>
      <c r="D116" s="25">
        <v>50</v>
      </c>
      <c r="E116" s="25">
        <v>50</v>
      </c>
      <c r="F116" s="25">
        <v>50</v>
      </c>
      <c r="G116" s="25">
        <v>50</v>
      </c>
      <c r="H116" s="25">
        <v>50</v>
      </c>
      <c r="I116" s="25">
        <v>50</v>
      </c>
    </row>
    <row r="117" spans="1:9" hidden="1" x14ac:dyDescent="0.45">
      <c r="A117" s="25" t="s">
        <v>134</v>
      </c>
      <c r="B117" s="25" t="s">
        <v>336</v>
      </c>
      <c r="C117" s="25" t="s">
        <v>337</v>
      </c>
      <c r="D117" s="25">
        <v>53</v>
      </c>
      <c r="E117" s="25">
        <v>53</v>
      </c>
      <c r="F117" s="25">
        <v>53</v>
      </c>
      <c r="G117" s="25">
        <v>53</v>
      </c>
      <c r="H117" s="25">
        <v>53</v>
      </c>
      <c r="I117" s="25">
        <v>50</v>
      </c>
    </row>
    <row r="118" spans="1:9" hidden="1" x14ac:dyDescent="0.45">
      <c r="A118" s="25" t="s">
        <v>135</v>
      </c>
      <c r="B118" s="25" t="s">
        <v>336</v>
      </c>
      <c r="C118" s="25" t="s">
        <v>337</v>
      </c>
      <c r="D118" s="25">
        <v>50</v>
      </c>
      <c r="E118" s="25">
        <v>50</v>
      </c>
      <c r="F118" s="25">
        <v>50</v>
      </c>
      <c r="G118" s="25">
        <v>50</v>
      </c>
      <c r="H118" s="25">
        <v>50</v>
      </c>
      <c r="I118" s="25">
        <v>50</v>
      </c>
    </row>
    <row r="119" spans="1:9" hidden="1" x14ac:dyDescent="0.45">
      <c r="A119" s="25" t="s">
        <v>136</v>
      </c>
      <c r="B119" s="25" t="s">
        <v>336</v>
      </c>
      <c r="C119" s="25" t="s">
        <v>337</v>
      </c>
      <c r="D119" s="25">
        <v>50</v>
      </c>
      <c r="E119" s="25">
        <v>50</v>
      </c>
      <c r="F119" s="25">
        <v>50</v>
      </c>
      <c r="G119" s="25">
        <v>50</v>
      </c>
      <c r="H119" s="25">
        <v>50</v>
      </c>
      <c r="I119" s="25">
        <v>50</v>
      </c>
    </row>
    <row r="120" spans="1:9" hidden="1" x14ac:dyDescent="0.45">
      <c r="A120" s="25" t="s">
        <v>137</v>
      </c>
      <c r="B120" s="25" t="s">
        <v>336</v>
      </c>
      <c r="C120" s="25" t="s">
        <v>337</v>
      </c>
      <c r="D120" s="25">
        <v>50</v>
      </c>
      <c r="E120" s="25">
        <v>50</v>
      </c>
      <c r="F120" s="25">
        <v>50</v>
      </c>
      <c r="G120" s="25">
        <v>50</v>
      </c>
      <c r="H120" s="25">
        <v>50</v>
      </c>
      <c r="I120" s="25">
        <v>50</v>
      </c>
    </row>
    <row r="121" spans="1:9" hidden="1" x14ac:dyDescent="0.45">
      <c r="A121" s="25" t="s">
        <v>138</v>
      </c>
      <c r="B121" s="25" t="s">
        <v>336</v>
      </c>
      <c r="C121" s="25" t="s">
        <v>337</v>
      </c>
      <c r="D121" s="25">
        <v>50</v>
      </c>
      <c r="E121" s="25">
        <v>50</v>
      </c>
      <c r="F121" s="25">
        <v>50</v>
      </c>
      <c r="G121" s="25">
        <v>50</v>
      </c>
      <c r="H121" s="25">
        <v>50</v>
      </c>
      <c r="I121" s="25">
        <v>50</v>
      </c>
    </row>
    <row r="122" spans="1:9" hidden="1" x14ac:dyDescent="0.45">
      <c r="A122" s="25" t="s">
        <v>139</v>
      </c>
      <c r="B122" s="25" t="s">
        <v>336</v>
      </c>
      <c r="C122" s="25" t="s">
        <v>337</v>
      </c>
      <c r="D122" s="25">
        <v>50</v>
      </c>
      <c r="E122" s="25">
        <v>50</v>
      </c>
      <c r="F122" s="25">
        <v>50</v>
      </c>
      <c r="G122" s="25">
        <v>50</v>
      </c>
      <c r="H122" s="25">
        <v>50</v>
      </c>
      <c r="I122" s="25">
        <v>50</v>
      </c>
    </row>
    <row r="123" spans="1:9" hidden="1" x14ac:dyDescent="0.45">
      <c r="A123" s="25" t="s">
        <v>140</v>
      </c>
      <c r="B123" s="25" t="s">
        <v>336</v>
      </c>
      <c r="C123" s="25" t="s">
        <v>337</v>
      </c>
      <c r="D123" s="25">
        <v>50</v>
      </c>
      <c r="E123" s="25">
        <v>50</v>
      </c>
      <c r="F123" s="25">
        <v>50</v>
      </c>
      <c r="G123" s="25">
        <v>50</v>
      </c>
      <c r="H123" s="25">
        <v>50</v>
      </c>
      <c r="I123" s="25">
        <v>50</v>
      </c>
    </row>
    <row r="124" spans="1:9" hidden="1" x14ac:dyDescent="0.45">
      <c r="A124" s="25" t="s">
        <v>141</v>
      </c>
      <c r="B124" s="25" t="s">
        <v>336</v>
      </c>
      <c r="C124" s="25" t="s">
        <v>337</v>
      </c>
      <c r="D124" s="25">
        <v>50</v>
      </c>
      <c r="E124" s="25">
        <v>50</v>
      </c>
      <c r="F124" s="25">
        <v>50</v>
      </c>
      <c r="G124" s="25">
        <v>50</v>
      </c>
      <c r="H124" s="25">
        <v>50</v>
      </c>
      <c r="I124" s="25">
        <v>50</v>
      </c>
    </row>
    <row r="125" spans="1:9" hidden="1" x14ac:dyDescent="0.45">
      <c r="A125" s="25" t="s">
        <v>142</v>
      </c>
      <c r="B125" s="25" t="s">
        <v>336</v>
      </c>
      <c r="C125" s="25" t="s">
        <v>337</v>
      </c>
      <c r="D125" s="25">
        <v>99</v>
      </c>
      <c r="E125" s="25">
        <v>99</v>
      </c>
      <c r="F125" s="25">
        <v>99</v>
      </c>
      <c r="G125" s="25">
        <v>99</v>
      </c>
      <c r="H125" s="25">
        <v>99</v>
      </c>
      <c r="I125" s="25">
        <v>99</v>
      </c>
    </row>
    <row r="126" spans="1:9" hidden="1" x14ac:dyDescent="0.45">
      <c r="A126" s="25" t="s">
        <v>143</v>
      </c>
      <c r="B126" s="25" t="s">
        <v>336</v>
      </c>
      <c r="C126" s="25" t="s">
        <v>337</v>
      </c>
      <c r="D126" s="25">
        <v>50</v>
      </c>
      <c r="E126" s="25">
        <v>50</v>
      </c>
      <c r="F126" s="25">
        <v>50</v>
      </c>
      <c r="G126" s="25">
        <v>50</v>
      </c>
      <c r="H126" s="25">
        <v>50</v>
      </c>
      <c r="I126" s="25">
        <v>50</v>
      </c>
    </row>
    <row r="127" spans="1:9" hidden="1" x14ac:dyDescent="0.45">
      <c r="A127" s="25" t="s">
        <v>144</v>
      </c>
      <c r="B127" s="25" t="s">
        <v>336</v>
      </c>
      <c r="C127" s="25" t="s">
        <v>337</v>
      </c>
      <c r="D127" s="25">
        <v>30</v>
      </c>
      <c r="E127" s="25">
        <v>30</v>
      </c>
      <c r="F127" s="25">
        <v>30</v>
      </c>
      <c r="G127" s="25">
        <v>30</v>
      </c>
      <c r="H127" s="25">
        <v>30</v>
      </c>
      <c r="I127" s="25">
        <v>30</v>
      </c>
    </row>
    <row r="128" spans="1:9" hidden="1" x14ac:dyDescent="0.45">
      <c r="A128" s="25" t="s">
        <v>145</v>
      </c>
      <c r="B128" s="25" t="s">
        <v>336</v>
      </c>
      <c r="C128" s="25" t="s">
        <v>337</v>
      </c>
      <c r="D128" s="25">
        <v>50</v>
      </c>
      <c r="E128" s="25">
        <v>50</v>
      </c>
      <c r="F128" s="25">
        <v>50</v>
      </c>
      <c r="G128" s="25">
        <v>50</v>
      </c>
      <c r="H128" s="25">
        <v>50</v>
      </c>
      <c r="I128" s="25">
        <v>50</v>
      </c>
    </row>
    <row r="129" spans="1:9" hidden="1" x14ac:dyDescent="0.45">
      <c r="A129" s="25" t="s">
        <v>146</v>
      </c>
      <c r="B129" s="25" t="s">
        <v>336</v>
      </c>
      <c r="C129" s="25" t="s">
        <v>337</v>
      </c>
      <c r="D129" s="25">
        <v>50</v>
      </c>
      <c r="E129" s="25">
        <v>50</v>
      </c>
      <c r="F129" s="25">
        <v>50</v>
      </c>
      <c r="G129" s="25">
        <v>50</v>
      </c>
      <c r="H129" s="25">
        <v>50</v>
      </c>
      <c r="I129" s="25">
        <v>50</v>
      </c>
    </row>
    <row r="130" spans="1:9" hidden="1" x14ac:dyDescent="0.45">
      <c r="A130" s="25" t="s">
        <v>147</v>
      </c>
      <c r="B130" s="25" t="s">
        <v>336</v>
      </c>
      <c r="C130" s="25" t="s">
        <v>337</v>
      </c>
      <c r="D130" s="25">
        <v>50</v>
      </c>
      <c r="E130" s="25">
        <v>50</v>
      </c>
      <c r="F130" s="25">
        <v>50</v>
      </c>
      <c r="G130" s="25">
        <v>50</v>
      </c>
      <c r="H130" s="25">
        <v>50</v>
      </c>
      <c r="I130" s="25">
        <v>50</v>
      </c>
    </row>
    <row r="131" spans="1:9" hidden="1" x14ac:dyDescent="0.45">
      <c r="A131" s="25" t="s">
        <v>148</v>
      </c>
      <c r="B131" s="25" t="s">
        <v>336</v>
      </c>
      <c r="C131" s="25" t="s">
        <v>337</v>
      </c>
      <c r="D131" s="25">
        <v>50</v>
      </c>
      <c r="E131" s="25">
        <v>50</v>
      </c>
      <c r="F131" s="25">
        <v>50</v>
      </c>
      <c r="G131" s="25">
        <v>50</v>
      </c>
      <c r="H131" s="25">
        <v>50</v>
      </c>
      <c r="I131" s="25">
        <v>50</v>
      </c>
    </row>
    <row r="132" spans="1:9" hidden="1" x14ac:dyDescent="0.45">
      <c r="A132" s="25" t="s">
        <v>149</v>
      </c>
      <c r="B132" s="25" t="s">
        <v>336</v>
      </c>
      <c r="C132" s="25" t="s">
        <v>337</v>
      </c>
      <c r="D132" s="25">
        <v>50</v>
      </c>
      <c r="E132" s="25">
        <v>50</v>
      </c>
      <c r="F132" s="25">
        <v>50</v>
      </c>
      <c r="G132" s="25">
        <v>50</v>
      </c>
      <c r="H132" s="25">
        <v>50</v>
      </c>
      <c r="I132" s="25">
        <v>50</v>
      </c>
    </row>
    <row r="133" spans="1:9" hidden="1" x14ac:dyDescent="0.45">
      <c r="A133" s="25" t="s">
        <v>150</v>
      </c>
      <c r="B133" s="25" t="s">
        <v>336</v>
      </c>
      <c r="C133" s="25" t="s">
        <v>337</v>
      </c>
      <c r="D133" s="25">
        <v>50</v>
      </c>
      <c r="E133" s="25">
        <v>50</v>
      </c>
      <c r="F133" s="25">
        <v>50</v>
      </c>
      <c r="G133" s="25">
        <v>50</v>
      </c>
      <c r="H133" s="25">
        <v>50</v>
      </c>
      <c r="I133" s="25">
        <v>50</v>
      </c>
    </row>
    <row r="134" spans="1:9" hidden="1" x14ac:dyDescent="0.45">
      <c r="A134" s="25" t="s">
        <v>151</v>
      </c>
      <c r="B134" s="25" t="s">
        <v>336</v>
      </c>
      <c r="C134" s="25" t="s">
        <v>337</v>
      </c>
      <c r="D134" s="25">
        <v>50</v>
      </c>
      <c r="E134" s="25">
        <v>50</v>
      </c>
      <c r="F134" s="25">
        <v>50</v>
      </c>
      <c r="G134" s="25">
        <v>50</v>
      </c>
      <c r="H134" s="25">
        <v>50</v>
      </c>
      <c r="I134" s="25">
        <v>50</v>
      </c>
    </row>
    <row r="135" spans="1:9" hidden="1" x14ac:dyDescent="0.45">
      <c r="A135" s="25" t="s">
        <v>152</v>
      </c>
      <c r="B135" s="25" t="s">
        <v>336</v>
      </c>
      <c r="C135" s="25" t="s">
        <v>337</v>
      </c>
      <c r="D135" s="25">
        <v>50</v>
      </c>
      <c r="E135" s="25">
        <v>50</v>
      </c>
      <c r="F135" s="25">
        <v>50</v>
      </c>
      <c r="G135" s="25">
        <v>50</v>
      </c>
      <c r="H135" s="25">
        <v>50</v>
      </c>
      <c r="I135" s="25">
        <v>50</v>
      </c>
    </row>
    <row r="136" spans="1:9" hidden="1" x14ac:dyDescent="0.45">
      <c r="A136" s="25" t="s">
        <v>153</v>
      </c>
      <c r="B136" s="25" t="s">
        <v>336</v>
      </c>
      <c r="C136" s="25" t="s">
        <v>337</v>
      </c>
      <c r="D136" s="25" t="s">
        <v>44</v>
      </c>
      <c r="E136" s="25" t="s">
        <v>44</v>
      </c>
      <c r="F136" s="25">
        <v>50</v>
      </c>
      <c r="G136" s="25">
        <v>50</v>
      </c>
      <c r="H136" s="25">
        <v>50</v>
      </c>
      <c r="I136" s="25">
        <v>50</v>
      </c>
    </row>
    <row r="137" spans="1:9" hidden="1" x14ac:dyDescent="0.45">
      <c r="A137" s="25" t="s">
        <v>154</v>
      </c>
      <c r="B137" s="25" t="s">
        <v>336</v>
      </c>
      <c r="C137" s="25" t="s">
        <v>337</v>
      </c>
      <c r="D137" s="25" t="s">
        <v>44</v>
      </c>
      <c r="E137" s="25" t="s">
        <v>44</v>
      </c>
      <c r="F137" s="25">
        <v>50</v>
      </c>
      <c r="G137" s="25">
        <v>50</v>
      </c>
      <c r="H137" s="25">
        <v>50</v>
      </c>
      <c r="I137" s="25">
        <v>50</v>
      </c>
    </row>
    <row r="138" spans="1:9" hidden="1" x14ac:dyDescent="0.45">
      <c r="A138" s="25" t="s">
        <v>155</v>
      </c>
      <c r="B138" s="25" t="s">
        <v>336</v>
      </c>
      <c r="C138" s="25" t="s">
        <v>337</v>
      </c>
      <c r="D138" s="25" t="s">
        <v>44</v>
      </c>
      <c r="E138" s="25" t="s">
        <v>44</v>
      </c>
      <c r="F138" s="25">
        <v>50</v>
      </c>
      <c r="G138" s="25">
        <v>50</v>
      </c>
      <c r="H138" s="25">
        <v>50</v>
      </c>
      <c r="I138" s="25">
        <v>50</v>
      </c>
    </row>
    <row r="139" spans="1:9" hidden="1" x14ac:dyDescent="0.45">
      <c r="A139" s="25" t="s">
        <v>156</v>
      </c>
      <c r="B139" s="25" t="s">
        <v>336</v>
      </c>
      <c r="C139" s="25" t="s">
        <v>337</v>
      </c>
      <c r="D139" s="25" t="s">
        <v>44</v>
      </c>
      <c r="E139" s="25" t="s">
        <v>44</v>
      </c>
      <c r="F139" s="25">
        <v>50</v>
      </c>
      <c r="G139" s="25">
        <v>50</v>
      </c>
      <c r="H139" s="25">
        <v>50</v>
      </c>
      <c r="I139" s="25">
        <v>50</v>
      </c>
    </row>
    <row r="140" spans="1:9" hidden="1" x14ac:dyDescent="0.45">
      <c r="A140" s="25" t="s">
        <v>157</v>
      </c>
      <c r="B140" s="25" t="s">
        <v>336</v>
      </c>
      <c r="C140" s="25" t="s">
        <v>337</v>
      </c>
      <c r="D140" s="25" t="s">
        <v>44</v>
      </c>
      <c r="E140" s="25" t="s">
        <v>44</v>
      </c>
      <c r="F140" s="25">
        <v>50</v>
      </c>
      <c r="G140" s="25">
        <v>50</v>
      </c>
      <c r="H140" s="25">
        <v>50</v>
      </c>
      <c r="I140" s="25">
        <v>50</v>
      </c>
    </row>
    <row r="141" spans="1:9" hidden="1" x14ac:dyDescent="0.45">
      <c r="A141" s="25" t="s">
        <v>158</v>
      </c>
      <c r="B141" s="25" t="s">
        <v>336</v>
      </c>
      <c r="C141" s="25" t="s">
        <v>337</v>
      </c>
      <c r="D141" s="25" t="s">
        <v>44</v>
      </c>
      <c r="E141" s="25" t="s">
        <v>44</v>
      </c>
      <c r="F141" s="25">
        <v>50</v>
      </c>
      <c r="G141" s="25">
        <v>50</v>
      </c>
      <c r="H141" s="25">
        <v>50</v>
      </c>
      <c r="I141" s="25">
        <v>50</v>
      </c>
    </row>
    <row r="142" spans="1:9" hidden="1" x14ac:dyDescent="0.45">
      <c r="A142" s="25" t="s">
        <v>159</v>
      </c>
      <c r="B142" s="25" t="s">
        <v>336</v>
      </c>
      <c r="C142" s="25" t="s">
        <v>337</v>
      </c>
      <c r="D142" s="25" t="s">
        <v>44</v>
      </c>
      <c r="E142" s="25" t="s">
        <v>44</v>
      </c>
      <c r="F142" s="25">
        <v>50</v>
      </c>
      <c r="G142" s="25">
        <v>50</v>
      </c>
      <c r="H142" s="25">
        <v>50</v>
      </c>
      <c r="I142" s="25">
        <v>50</v>
      </c>
    </row>
    <row r="143" spans="1:9" hidden="1" x14ac:dyDescent="0.45">
      <c r="A143" s="25" t="s">
        <v>160</v>
      </c>
      <c r="B143" s="25" t="s">
        <v>336</v>
      </c>
      <c r="C143" s="25" t="s">
        <v>337</v>
      </c>
      <c r="D143" s="25" t="s">
        <v>44</v>
      </c>
      <c r="E143" s="25" t="s">
        <v>44</v>
      </c>
      <c r="F143" s="25">
        <v>50</v>
      </c>
      <c r="G143" s="25">
        <v>50</v>
      </c>
      <c r="H143" s="25">
        <v>50</v>
      </c>
      <c r="I143" s="25">
        <v>50</v>
      </c>
    </row>
    <row r="144" spans="1:9" hidden="1" x14ac:dyDescent="0.45">
      <c r="A144" s="25" t="s">
        <v>161</v>
      </c>
      <c r="B144" s="25" t="s">
        <v>336</v>
      </c>
      <c r="C144" s="25" t="s">
        <v>337</v>
      </c>
      <c r="D144" s="25" t="s">
        <v>44</v>
      </c>
      <c r="E144" s="25" t="s">
        <v>44</v>
      </c>
      <c r="F144" s="25">
        <v>50</v>
      </c>
      <c r="G144" s="25">
        <v>50</v>
      </c>
      <c r="H144" s="25">
        <v>50</v>
      </c>
      <c r="I144" s="25">
        <v>50</v>
      </c>
    </row>
    <row r="145" spans="1:9" hidden="1" x14ac:dyDescent="0.45">
      <c r="A145" s="25" t="s">
        <v>162</v>
      </c>
      <c r="B145" s="25" t="s">
        <v>336</v>
      </c>
      <c r="C145" s="25" t="s">
        <v>337</v>
      </c>
      <c r="D145" s="25" t="s">
        <v>44</v>
      </c>
      <c r="E145" s="25" t="s">
        <v>44</v>
      </c>
      <c r="F145" s="25">
        <v>50</v>
      </c>
      <c r="G145" s="25">
        <v>50</v>
      </c>
      <c r="H145" s="25">
        <v>50</v>
      </c>
      <c r="I145" s="25">
        <v>50</v>
      </c>
    </row>
    <row r="146" spans="1:9" hidden="1" x14ac:dyDescent="0.45">
      <c r="A146" s="25" t="s">
        <v>163</v>
      </c>
      <c r="B146" s="25" t="s">
        <v>336</v>
      </c>
      <c r="C146" s="25" t="s">
        <v>337</v>
      </c>
      <c r="D146" s="25" t="s">
        <v>44</v>
      </c>
      <c r="E146" s="25" t="s">
        <v>44</v>
      </c>
      <c r="F146" s="25">
        <v>50</v>
      </c>
      <c r="G146" s="25">
        <v>50</v>
      </c>
      <c r="H146" s="25">
        <v>50</v>
      </c>
      <c r="I146" s="25">
        <v>50</v>
      </c>
    </row>
    <row r="147" spans="1:9" hidden="1" x14ac:dyDescent="0.45">
      <c r="A147" s="25" t="s">
        <v>164</v>
      </c>
      <c r="B147" s="25" t="s">
        <v>336</v>
      </c>
      <c r="C147" s="25" t="s">
        <v>337</v>
      </c>
      <c r="D147" s="25" t="s">
        <v>44</v>
      </c>
      <c r="E147" s="25" t="s">
        <v>44</v>
      </c>
      <c r="F147" s="25">
        <v>50</v>
      </c>
      <c r="G147" s="25">
        <v>50</v>
      </c>
      <c r="H147" s="25">
        <v>50</v>
      </c>
      <c r="I147" s="25">
        <v>60</v>
      </c>
    </row>
    <row r="148" spans="1:9" hidden="1" x14ac:dyDescent="0.45">
      <c r="A148" s="23" t="s">
        <v>165</v>
      </c>
      <c r="B148" s="23"/>
      <c r="C148" s="23"/>
      <c r="D148" s="23">
        <v>1248</v>
      </c>
      <c r="E148" s="23">
        <v>1248</v>
      </c>
      <c r="F148" s="23">
        <v>1838</v>
      </c>
      <c r="G148" s="23">
        <v>1838</v>
      </c>
      <c r="H148" s="23">
        <v>1838</v>
      </c>
      <c r="I148" s="23">
        <v>1845</v>
      </c>
    </row>
    <row r="149" spans="1:9" hidden="1" x14ac:dyDescent="0.45">
      <c r="A149" s="62" t="s">
        <v>338</v>
      </c>
      <c r="B149" s="63"/>
      <c r="C149" s="63"/>
      <c r="D149" s="63"/>
      <c r="E149" s="63"/>
      <c r="F149" s="63"/>
      <c r="G149" s="63"/>
      <c r="H149" s="63"/>
      <c r="I149" s="64"/>
    </row>
    <row r="150" spans="1:9" hidden="1" x14ac:dyDescent="0.45">
      <c r="A150" s="67"/>
      <c r="B150" s="68"/>
      <c r="C150" s="68"/>
      <c r="D150" s="68"/>
      <c r="E150" s="68"/>
      <c r="F150" s="68"/>
      <c r="G150" s="68"/>
      <c r="H150" s="68"/>
      <c r="I150" s="69"/>
    </row>
    <row r="151" spans="1:9" x14ac:dyDescent="0.45">
      <c r="A151" s="25" t="s">
        <v>167</v>
      </c>
      <c r="B151" s="25" t="s">
        <v>339</v>
      </c>
      <c r="C151" s="25" t="s">
        <v>168</v>
      </c>
      <c r="D151" s="25">
        <v>100</v>
      </c>
      <c r="E151" s="25">
        <v>100</v>
      </c>
      <c r="F151" s="25">
        <v>100</v>
      </c>
      <c r="G151" s="25">
        <v>100</v>
      </c>
      <c r="H151" s="25">
        <v>100</v>
      </c>
      <c r="I151" s="25">
        <v>96</v>
      </c>
    </row>
    <row r="152" spans="1:9" x14ac:dyDescent="0.45">
      <c r="A152" s="25" t="s">
        <v>169</v>
      </c>
      <c r="B152" s="25" t="s">
        <v>339</v>
      </c>
      <c r="C152" s="25" t="s">
        <v>168</v>
      </c>
      <c r="D152" s="25">
        <v>100</v>
      </c>
      <c r="E152" s="25">
        <v>100</v>
      </c>
      <c r="F152" s="25">
        <v>100</v>
      </c>
      <c r="G152" s="25">
        <v>100</v>
      </c>
      <c r="H152" s="25">
        <v>100</v>
      </c>
      <c r="I152" s="25">
        <v>96</v>
      </c>
    </row>
    <row r="153" spans="1:9" x14ac:dyDescent="0.45">
      <c r="A153" s="25" t="s">
        <v>170</v>
      </c>
      <c r="B153" s="25" t="s">
        <v>339</v>
      </c>
      <c r="C153" s="25" t="s">
        <v>168</v>
      </c>
      <c r="D153" s="25">
        <v>100</v>
      </c>
      <c r="E153" s="25">
        <v>100</v>
      </c>
      <c r="F153" s="25">
        <v>100</v>
      </c>
      <c r="G153" s="25">
        <v>100</v>
      </c>
      <c r="H153" s="25">
        <v>100</v>
      </c>
      <c r="I153" s="25">
        <v>96</v>
      </c>
    </row>
    <row r="154" spans="1:9" x14ac:dyDescent="0.45">
      <c r="A154" s="25" t="s">
        <v>171</v>
      </c>
      <c r="B154" s="25" t="s">
        <v>339</v>
      </c>
      <c r="C154" s="25" t="s">
        <v>168</v>
      </c>
      <c r="D154" s="25">
        <v>100</v>
      </c>
      <c r="E154" s="25">
        <v>100</v>
      </c>
      <c r="F154" s="25">
        <v>100</v>
      </c>
      <c r="G154" s="25">
        <v>100</v>
      </c>
      <c r="H154" s="25">
        <v>100</v>
      </c>
      <c r="I154" s="25">
        <v>96</v>
      </c>
    </row>
    <row r="155" spans="1:9" x14ac:dyDescent="0.45">
      <c r="A155" s="25" t="s">
        <v>172</v>
      </c>
      <c r="B155" s="25" t="s">
        <v>340</v>
      </c>
      <c r="C155" s="25" t="s">
        <v>168</v>
      </c>
      <c r="D155" s="25">
        <v>12</v>
      </c>
      <c r="E155" s="25">
        <v>12</v>
      </c>
      <c r="F155" s="25">
        <v>12</v>
      </c>
      <c r="G155" s="25">
        <v>12</v>
      </c>
      <c r="H155" s="25">
        <v>12</v>
      </c>
      <c r="I155" s="25">
        <v>12</v>
      </c>
    </row>
    <row r="156" spans="1:9" x14ac:dyDescent="0.45">
      <c r="A156" s="25" t="s">
        <v>173</v>
      </c>
      <c r="B156" s="25" t="s">
        <v>311</v>
      </c>
      <c r="C156" s="25" t="s">
        <v>168</v>
      </c>
      <c r="D156" s="25">
        <v>18</v>
      </c>
      <c r="E156" s="25">
        <v>18</v>
      </c>
      <c r="F156" s="25">
        <v>18</v>
      </c>
      <c r="G156" s="25">
        <v>18</v>
      </c>
      <c r="H156" s="25">
        <v>18</v>
      </c>
      <c r="I156" s="25">
        <v>18</v>
      </c>
    </row>
    <row r="157" spans="1:9" x14ac:dyDescent="0.45">
      <c r="A157" s="25" t="s">
        <v>174</v>
      </c>
      <c r="B157" s="25" t="s">
        <v>341</v>
      </c>
      <c r="C157" s="25" t="s">
        <v>168</v>
      </c>
      <c r="D157" s="25" t="s">
        <v>44</v>
      </c>
      <c r="E157" s="25" t="s">
        <v>44</v>
      </c>
      <c r="F157" s="25">
        <v>100</v>
      </c>
      <c r="G157" s="25">
        <v>100</v>
      </c>
      <c r="H157" s="25">
        <v>100</v>
      </c>
      <c r="I157" s="25">
        <v>100</v>
      </c>
    </row>
    <row r="158" spans="1:9" x14ac:dyDescent="0.45">
      <c r="A158" s="25" t="s">
        <v>175</v>
      </c>
      <c r="B158" s="25" t="s">
        <v>342</v>
      </c>
      <c r="C158" s="25" t="s">
        <v>168</v>
      </c>
      <c r="D158" s="25" t="s">
        <v>44</v>
      </c>
      <c r="E158" s="25" t="s">
        <v>44</v>
      </c>
      <c r="F158" s="25" t="s">
        <v>44</v>
      </c>
      <c r="G158" s="25" t="s">
        <v>44</v>
      </c>
      <c r="H158" s="25">
        <v>50</v>
      </c>
      <c r="I158" s="25">
        <v>50</v>
      </c>
    </row>
    <row r="159" spans="1:9" x14ac:dyDescent="0.45">
      <c r="A159" s="25" t="s">
        <v>176</v>
      </c>
      <c r="B159" s="25" t="s">
        <v>342</v>
      </c>
      <c r="C159" s="25" t="s">
        <v>168</v>
      </c>
      <c r="D159" s="25" t="s">
        <v>44</v>
      </c>
      <c r="E159" s="25" t="s">
        <v>44</v>
      </c>
      <c r="F159" s="25" t="s">
        <v>44</v>
      </c>
      <c r="G159" s="25" t="s">
        <v>44</v>
      </c>
      <c r="H159" s="25">
        <v>50</v>
      </c>
      <c r="I159" s="25">
        <v>50</v>
      </c>
    </row>
    <row r="160" spans="1:9" x14ac:dyDescent="0.45">
      <c r="A160" s="25" t="s">
        <v>177</v>
      </c>
      <c r="B160" s="25" t="s">
        <v>342</v>
      </c>
      <c r="C160" s="25" t="s">
        <v>168</v>
      </c>
      <c r="D160" s="25" t="s">
        <v>44</v>
      </c>
      <c r="E160" s="25" t="s">
        <v>44</v>
      </c>
      <c r="F160" s="25" t="s">
        <v>44</v>
      </c>
      <c r="G160" s="25" t="s">
        <v>44</v>
      </c>
      <c r="H160" s="25">
        <v>50</v>
      </c>
      <c r="I160" s="25">
        <v>50</v>
      </c>
    </row>
    <row r="161" spans="1:9" hidden="1" x14ac:dyDescent="0.45">
      <c r="A161" s="23" t="s">
        <v>343</v>
      </c>
      <c r="B161" s="23"/>
      <c r="C161" s="23"/>
      <c r="D161" s="23">
        <v>430</v>
      </c>
      <c r="E161" s="23">
        <v>430</v>
      </c>
      <c r="F161" s="23">
        <v>530</v>
      </c>
      <c r="G161" s="23">
        <v>530</v>
      </c>
      <c r="H161" s="23">
        <v>680</v>
      </c>
      <c r="I161" s="23">
        <v>664</v>
      </c>
    </row>
    <row r="162" spans="1:9" hidden="1" x14ac:dyDescent="0.45">
      <c r="A162" s="62" t="s">
        <v>344</v>
      </c>
      <c r="B162" s="63"/>
      <c r="C162" s="63"/>
      <c r="D162" s="63"/>
      <c r="E162" s="63"/>
      <c r="F162" s="63"/>
      <c r="G162" s="63"/>
      <c r="H162" s="63"/>
      <c r="I162" s="64"/>
    </row>
    <row r="163" spans="1:9" hidden="1" x14ac:dyDescent="0.45">
      <c r="A163" s="65"/>
      <c r="B163" s="48"/>
      <c r="C163" s="48"/>
      <c r="D163" s="48"/>
      <c r="E163" s="48"/>
      <c r="F163" s="48"/>
      <c r="G163" s="48"/>
      <c r="H163" s="48"/>
      <c r="I163" s="66"/>
    </row>
    <row r="164" spans="1:9" hidden="1" x14ac:dyDescent="0.45">
      <c r="A164" s="67"/>
      <c r="B164" s="68"/>
      <c r="C164" s="68"/>
      <c r="D164" s="68"/>
      <c r="E164" s="68"/>
      <c r="F164" s="68"/>
      <c r="G164" s="68"/>
      <c r="H164" s="68"/>
      <c r="I164" s="69"/>
    </row>
    <row r="165" spans="1:9" hidden="1" x14ac:dyDescent="0.45">
      <c r="A165" s="25" t="s">
        <v>181</v>
      </c>
      <c r="B165" s="25" t="s">
        <v>345</v>
      </c>
      <c r="C165" s="25" t="s">
        <v>346</v>
      </c>
      <c r="D165" s="25">
        <v>26</v>
      </c>
      <c r="E165" s="25">
        <v>26</v>
      </c>
      <c r="F165" s="25">
        <v>26</v>
      </c>
      <c r="G165" s="25">
        <v>26</v>
      </c>
      <c r="H165" s="25">
        <v>26</v>
      </c>
      <c r="I165" s="25">
        <v>24</v>
      </c>
    </row>
    <row r="166" spans="1:9" hidden="1" x14ac:dyDescent="0.45">
      <c r="A166" s="25" t="s">
        <v>183</v>
      </c>
      <c r="B166" s="25" t="s">
        <v>345</v>
      </c>
      <c r="C166" s="25" t="s">
        <v>346</v>
      </c>
      <c r="D166" s="25">
        <v>27</v>
      </c>
      <c r="E166" s="25">
        <v>27</v>
      </c>
      <c r="F166" s="25">
        <v>27</v>
      </c>
      <c r="G166" s="25">
        <v>27</v>
      </c>
      <c r="H166" s="25">
        <v>27</v>
      </c>
      <c r="I166" s="25">
        <v>24</v>
      </c>
    </row>
    <row r="167" spans="1:9" hidden="1" x14ac:dyDescent="0.45">
      <c r="A167" s="25" t="s">
        <v>184</v>
      </c>
      <c r="B167" s="25" t="s">
        <v>345</v>
      </c>
      <c r="C167" s="25" t="s">
        <v>185</v>
      </c>
      <c r="D167" s="25">
        <v>40</v>
      </c>
      <c r="E167" s="25">
        <v>40</v>
      </c>
      <c r="F167" s="25">
        <v>40</v>
      </c>
      <c r="G167" s="25">
        <v>40</v>
      </c>
      <c r="H167" s="25">
        <v>40</v>
      </c>
      <c r="I167" s="25">
        <v>24</v>
      </c>
    </row>
    <row r="168" spans="1:9" hidden="1" x14ac:dyDescent="0.45">
      <c r="A168" s="25" t="s">
        <v>186</v>
      </c>
      <c r="B168" s="25" t="s">
        <v>347</v>
      </c>
      <c r="C168" s="25" t="s">
        <v>185</v>
      </c>
      <c r="D168" s="25">
        <v>63</v>
      </c>
      <c r="E168" s="25">
        <v>63</v>
      </c>
      <c r="F168" s="25">
        <v>63</v>
      </c>
      <c r="G168" s="25">
        <v>63</v>
      </c>
      <c r="H168" s="25">
        <v>63</v>
      </c>
      <c r="I168" s="25">
        <v>63</v>
      </c>
    </row>
    <row r="169" spans="1:9" hidden="1" x14ac:dyDescent="0.45">
      <c r="A169" s="25" t="s">
        <v>348</v>
      </c>
      <c r="B169" s="25" t="s">
        <v>280</v>
      </c>
      <c r="C169" s="25" t="s">
        <v>349</v>
      </c>
      <c r="D169" s="25">
        <v>120</v>
      </c>
      <c r="E169" s="25">
        <v>120</v>
      </c>
      <c r="F169" s="25">
        <v>120</v>
      </c>
      <c r="G169" s="25">
        <v>0</v>
      </c>
      <c r="H169" s="25">
        <v>0</v>
      </c>
      <c r="I169" s="25">
        <v>45</v>
      </c>
    </row>
    <row r="170" spans="1:9" hidden="1" x14ac:dyDescent="0.45">
      <c r="A170" s="25" t="s">
        <v>187</v>
      </c>
      <c r="B170" s="25" t="s">
        <v>345</v>
      </c>
      <c r="C170" s="25" t="s">
        <v>346</v>
      </c>
      <c r="D170" s="25">
        <v>15</v>
      </c>
      <c r="E170" s="25">
        <v>15</v>
      </c>
      <c r="F170" s="25">
        <v>15</v>
      </c>
      <c r="G170" s="25">
        <v>15</v>
      </c>
      <c r="H170" s="25">
        <v>15</v>
      </c>
      <c r="I170" s="25">
        <v>15</v>
      </c>
    </row>
    <row r="171" spans="1:9" hidden="1" x14ac:dyDescent="0.45">
      <c r="A171" s="25" t="s">
        <v>350</v>
      </c>
      <c r="B171" s="25" t="s">
        <v>341</v>
      </c>
      <c r="C171" s="25" t="s">
        <v>185</v>
      </c>
      <c r="D171" s="25">
        <v>20</v>
      </c>
      <c r="E171" s="25">
        <v>20</v>
      </c>
      <c r="F171" s="25">
        <v>20</v>
      </c>
      <c r="G171" s="25">
        <v>20</v>
      </c>
      <c r="H171" s="25">
        <v>20</v>
      </c>
      <c r="I171" s="25">
        <v>25</v>
      </c>
    </row>
    <row r="172" spans="1:9" hidden="1" x14ac:dyDescent="0.45">
      <c r="A172" s="25" t="s">
        <v>191</v>
      </c>
      <c r="B172" s="25" t="s">
        <v>244</v>
      </c>
      <c r="C172" s="25" t="s">
        <v>185</v>
      </c>
      <c r="D172" s="25">
        <v>36</v>
      </c>
      <c r="E172" s="25">
        <v>36</v>
      </c>
      <c r="F172" s="25">
        <v>36</v>
      </c>
      <c r="G172" s="25">
        <v>36</v>
      </c>
      <c r="H172" s="25">
        <v>36</v>
      </c>
      <c r="I172" s="25">
        <v>36</v>
      </c>
    </row>
    <row r="173" spans="1:9" hidden="1" x14ac:dyDescent="0.45">
      <c r="A173" s="25" t="s">
        <v>192</v>
      </c>
      <c r="B173" s="25" t="s">
        <v>281</v>
      </c>
      <c r="C173" s="25" t="s">
        <v>346</v>
      </c>
      <c r="D173" s="25">
        <v>22</v>
      </c>
      <c r="E173" s="25">
        <v>22</v>
      </c>
      <c r="F173" s="25">
        <v>22</v>
      </c>
      <c r="G173" s="25">
        <v>22</v>
      </c>
      <c r="H173" s="25">
        <v>22</v>
      </c>
      <c r="I173" s="25">
        <v>22</v>
      </c>
    </row>
    <row r="174" spans="1:9" hidden="1" x14ac:dyDescent="0.45">
      <c r="A174" s="26" t="s">
        <v>351</v>
      </c>
      <c r="B174" s="26"/>
      <c r="C174" s="26"/>
      <c r="D174" s="26">
        <v>369</v>
      </c>
      <c r="E174" s="26">
        <v>369</v>
      </c>
      <c r="F174" s="26">
        <v>369</v>
      </c>
      <c r="G174" s="26">
        <v>249</v>
      </c>
      <c r="H174" s="26">
        <v>249</v>
      </c>
      <c r="I174" s="26">
        <v>278</v>
      </c>
    </row>
    <row r="175" spans="1:9" hidden="1" x14ac:dyDescent="0.45">
      <c r="A175" s="27" t="s">
        <v>352</v>
      </c>
      <c r="B175" s="27"/>
      <c r="C175" s="27"/>
      <c r="D175" s="27">
        <v>2047</v>
      </c>
      <c r="E175" s="27">
        <v>2047</v>
      </c>
      <c r="F175" s="27">
        <v>2737</v>
      </c>
      <c r="G175" s="27">
        <v>2617</v>
      </c>
      <c r="H175" s="27">
        <v>2767</v>
      </c>
      <c r="I175" s="27">
        <v>2787</v>
      </c>
    </row>
    <row r="176" spans="1:9" hidden="1" x14ac:dyDescent="0.45">
      <c r="A176" s="62" t="s">
        <v>353</v>
      </c>
      <c r="B176" s="63"/>
      <c r="C176" s="63"/>
      <c r="D176" s="63"/>
      <c r="E176" s="63"/>
      <c r="F176" s="63"/>
      <c r="G176" s="63"/>
      <c r="H176" s="63"/>
      <c r="I176" s="64"/>
    </row>
    <row r="177" spans="1:9" hidden="1" x14ac:dyDescent="0.45">
      <c r="A177" s="65"/>
      <c r="B177" s="48"/>
      <c r="C177" s="48"/>
      <c r="D177" s="48"/>
      <c r="E177" s="48"/>
      <c r="F177" s="48"/>
      <c r="G177" s="48"/>
      <c r="H177" s="48"/>
      <c r="I177" s="66"/>
    </row>
    <row r="178" spans="1:9" hidden="1" x14ac:dyDescent="0.45">
      <c r="A178" s="67"/>
      <c r="B178" s="68"/>
      <c r="C178" s="68"/>
      <c r="D178" s="68"/>
      <c r="E178" s="68"/>
      <c r="F178" s="68"/>
      <c r="G178" s="68"/>
      <c r="H178" s="68"/>
      <c r="I178" s="69"/>
    </row>
    <row r="179" spans="1:9" hidden="1" x14ac:dyDescent="0.45">
      <c r="A179" s="25" t="s">
        <v>196</v>
      </c>
      <c r="B179" s="25" t="s">
        <v>333</v>
      </c>
      <c r="C179" s="25" t="s">
        <v>272</v>
      </c>
      <c r="D179" s="25">
        <v>1260</v>
      </c>
      <c r="E179" s="25">
        <v>1050</v>
      </c>
      <c r="F179" s="25">
        <v>840</v>
      </c>
      <c r="G179" s="25">
        <v>840</v>
      </c>
      <c r="H179" s="25">
        <v>840</v>
      </c>
      <c r="I179" s="25">
        <v>730</v>
      </c>
    </row>
    <row r="180" spans="1:9" hidden="1" x14ac:dyDescent="0.45">
      <c r="A180" s="25" t="s">
        <v>199</v>
      </c>
      <c r="B180" s="25" t="s">
        <v>333</v>
      </c>
      <c r="C180" s="25" t="s">
        <v>354</v>
      </c>
      <c r="D180" s="25">
        <v>572</v>
      </c>
      <c r="E180" s="25">
        <v>572</v>
      </c>
      <c r="F180" s="25">
        <v>572</v>
      </c>
      <c r="G180" s="25">
        <v>572</v>
      </c>
      <c r="H180" s="25">
        <v>572</v>
      </c>
      <c r="I180" s="25">
        <v>526</v>
      </c>
    </row>
    <row r="181" spans="1:9" hidden="1" x14ac:dyDescent="0.45">
      <c r="A181" s="25" t="s">
        <v>200</v>
      </c>
      <c r="B181" s="25" t="s">
        <v>333</v>
      </c>
      <c r="C181" s="25" t="s">
        <v>354</v>
      </c>
      <c r="D181" s="25" t="s">
        <v>44</v>
      </c>
      <c r="E181" s="25" t="s">
        <v>44</v>
      </c>
      <c r="F181" s="25">
        <v>471</v>
      </c>
      <c r="G181" s="25">
        <v>942</v>
      </c>
      <c r="H181" s="25">
        <v>942</v>
      </c>
      <c r="I181" s="25">
        <v>918</v>
      </c>
    </row>
    <row r="182" spans="1:9" hidden="1" x14ac:dyDescent="0.45">
      <c r="A182" s="25" t="s">
        <v>201</v>
      </c>
      <c r="B182" s="25" t="s">
        <v>333</v>
      </c>
      <c r="C182" s="25" t="s">
        <v>354</v>
      </c>
      <c r="D182" s="25">
        <v>107</v>
      </c>
      <c r="E182" s="25">
        <v>107</v>
      </c>
      <c r="F182" s="25">
        <v>107</v>
      </c>
      <c r="G182" s="25">
        <v>107</v>
      </c>
      <c r="H182" s="25">
        <v>107</v>
      </c>
      <c r="I182" s="25">
        <v>96</v>
      </c>
    </row>
    <row r="183" spans="1:9" hidden="1" x14ac:dyDescent="0.45">
      <c r="A183" s="25" t="s">
        <v>202</v>
      </c>
      <c r="B183" s="25" t="s">
        <v>333</v>
      </c>
      <c r="C183" s="25" t="s">
        <v>354</v>
      </c>
      <c r="D183" s="25">
        <v>107</v>
      </c>
      <c r="E183" s="25">
        <v>107</v>
      </c>
      <c r="F183" s="25">
        <v>107</v>
      </c>
      <c r="G183" s="25">
        <v>107</v>
      </c>
      <c r="H183" s="25">
        <v>107</v>
      </c>
      <c r="I183" s="25">
        <v>96</v>
      </c>
    </row>
    <row r="184" spans="1:9" hidden="1" x14ac:dyDescent="0.45">
      <c r="A184" s="25" t="s">
        <v>203</v>
      </c>
      <c r="B184" s="25" t="s">
        <v>333</v>
      </c>
      <c r="C184" s="25" t="s">
        <v>354</v>
      </c>
      <c r="D184" s="25">
        <v>248</v>
      </c>
      <c r="E184" s="25">
        <v>248</v>
      </c>
      <c r="F184" s="25">
        <v>248</v>
      </c>
      <c r="G184" s="25">
        <v>248</v>
      </c>
      <c r="H184" s="25">
        <v>248</v>
      </c>
      <c r="I184" s="25">
        <v>227</v>
      </c>
    </row>
    <row r="185" spans="1:9" hidden="1" x14ac:dyDescent="0.45">
      <c r="A185" s="20" t="s">
        <v>355</v>
      </c>
      <c r="B185" s="20"/>
      <c r="C185" s="20"/>
      <c r="D185" s="20">
        <v>2294</v>
      </c>
      <c r="E185" s="20">
        <v>2084</v>
      </c>
      <c r="F185" s="20">
        <v>2345</v>
      </c>
      <c r="G185" s="20">
        <v>2816</v>
      </c>
      <c r="H185" s="20">
        <v>2816</v>
      </c>
      <c r="I185" s="20">
        <v>2593</v>
      </c>
    </row>
    <row r="186" spans="1:9" hidden="1" x14ac:dyDescent="0.45">
      <c r="A186" s="62" t="s">
        <v>356</v>
      </c>
      <c r="B186" s="63"/>
      <c r="C186" s="63"/>
      <c r="D186" s="63"/>
      <c r="E186" s="63"/>
      <c r="F186" s="63"/>
      <c r="G186" s="63"/>
      <c r="H186" s="63"/>
      <c r="I186" s="64"/>
    </row>
    <row r="187" spans="1:9" hidden="1" x14ac:dyDescent="0.45">
      <c r="A187" s="67"/>
      <c r="B187" s="68"/>
      <c r="C187" s="68"/>
      <c r="D187" s="68"/>
      <c r="E187" s="68"/>
      <c r="F187" s="68"/>
      <c r="G187" s="68"/>
      <c r="H187" s="68"/>
      <c r="I187" s="69"/>
    </row>
    <row r="188" spans="1:9" hidden="1" x14ac:dyDescent="0.45">
      <c r="A188" s="25" t="s">
        <v>206</v>
      </c>
      <c r="B188" s="25" t="s">
        <v>333</v>
      </c>
      <c r="C188" s="25" t="s">
        <v>357</v>
      </c>
      <c r="D188" s="25">
        <v>136</v>
      </c>
      <c r="E188" s="25">
        <v>136</v>
      </c>
      <c r="F188" s="25">
        <v>136</v>
      </c>
      <c r="G188" s="25">
        <v>136</v>
      </c>
      <c r="H188" s="25">
        <v>136</v>
      </c>
      <c r="I188" s="25">
        <v>128</v>
      </c>
    </row>
    <row r="189" spans="1:9" hidden="1" x14ac:dyDescent="0.45">
      <c r="A189" s="25" t="s">
        <v>207</v>
      </c>
      <c r="B189" s="25" t="s">
        <v>333</v>
      </c>
      <c r="C189" s="25" t="s">
        <v>357</v>
      </c>
      <c r="D189" s="25">
        <v>126</v>
      </c>
      <c r="E189" s="25">
        <v>126</v>
      </c>
      <c r="F189" s="25">
        <v>126</v>
      </c>
      <c r="G189" s="25">
        <v>126</v>
      </c>
      <c r="H189" s="25">
        <v>126</v>
      </c>
      <c r="I189" s="25">
        <v>124</v>
      </c>
    </row>
    <row r="190" spans="1:9" hidden="1" x14ac:dyDescent="0.45">
      <c r="A190" s="25" t="s">
        <v>358</v>
      </c>
      <c r="B190" s="25" t="s">
        <v>271</v>
      </c>
      <c r="C190" s="25" t="s">
        <v>359</v>
      </c>
      <c r="D190" s="25">
        <v>52</v>
      </c>
      <c r="E190" s="25">
        <v>52</v>
      </c>
      <c r="F190" s="25">
        <v>52</v>
      </c>
      <c r="G190" s="25">
        <v>52</v>
      </c>
      <c r="H190" s="25">
        <v>52</v>
      </c>
      <c r="I190" s="25">
        <v>51</v>
      </c>
    </row>
    <row r="191" spans="1:9" hidden="1" x14ac:dyDescent="0.45">
      <c r="A191" s="25" t="s">
        <v>360</v>
      </c>
      <c r="B191" s="25" t="s">
        <v>271</v>
      </c>
      <c r="C191" s="25" t="s">
        <v>359</v>
      </c>
      <c r="D191" s="25">
        <v>52</v>
      </c>
      <c r="E191" s="25">
        <v>52</v>
      </c>
      <c r="F191" s="25">
        <v>52</v>
      </c>
      <c r="G191" s="25">
        <v>52</v>
      </c>
      <c r="H191" s="25">
        <v>52</v>
      </c>
      <c r="I191" s="25">
        <v>51</v>
      </c>
    </row>
    <row r="192" spans="1:9" hidden="1" x14ac:dyDescent="0.45">
      <c r="A192" s="20" t="s">
        <v>361</v>
      </c>
      <c r="B192" s="20"/>
      <c r="C192" s="20"/>
      <c r="D192" s="20">
        <v>366</v>
      </c>
      <c r="E192" s="20">
        <v>366</v>
      </c>
      <c r="F192" s="20">
        <v>366</v>
      </c>
      <c r="G192" s="20">
        <v>366</v>
      </c>
      <c r="H192" s="20">
        <v>366</v>
      </c>
      <c r="I192" s="20">
        <v>354</v>
      </c>
    </row>
    <row r="193" spans="1:9" hidden="1" x14ac:dyDescent="0.45">
      <c r="A193" s="62" t="s">
        <v>362</v>
      </c>
      <c r="B193" s="63"/>
      <c r="C193" s="63"/>
      <c r="D193" s="63"/>
      <c r="E193" s="63"/>
      <c r="F193" s="63"/>
      <c r="G193" s="63"/>
      <c r="H193" s="63"/>
      <c r="I193" s="64"/>
    </row>
    <row r="194" spans="1:9" hidden="1" x14ac:dyDescent="0.45">
      <c r="A194" s="65"/>
      <c r="B194" s="48"/>
      <c r="C194" s="48"/>
      <c r="D194" s="48"/>
      <c r="E194" s="48"/>
      <c r="F194" s="48"/>
      <c r="G194" s="48"/>
      <c r="H194" s="48"/>
      <c r="I194" s="66"/>
    </row>
    <row r="195" spans="1:9" hidden="1" x14ac:dyDescent="0.45">
      <c r="A195" s="67"/>
      <c r="B195" s="68"/>
      <c r="C195" s="68"/>
      <c r="D195" s="68"/>
      <c r="E195" s="68"/>
      <c r="F195" s="68"/>
      <c r="G195" s="68"/>
      <c r="H195" s="68"/>
      <c r="I195" s="69"/>
    </row>
    <row r="196" spans="1:9" hidden="1" x14ac:dyDescent="0.45">
      <c r="A196" s="25" t="s">
        <v>212</v>
      </c>
      <c r="B196" s="25" t="s">
        <v>333</v>
      </c>
      <c r="C196" s="25" t="s">
        <v>363</v>
      </c>
      <c r="D196" s="25">
        <v>12</v>
      </c>
      <c r="E196" s="25">
        <v>12</v>
      </c>
      <c r="F196" s="25">
        <v>12</v>
      </c>
      <c r="G196" s="25">
        <v>0</v>
      </c>
      <c r="H196" s="25">
        <v>0</v>
      </c>
      <c r="I196" s="25">
        <v>11</v>
      </c>
    </row>
    <row r="197" spans="1:9" hidden="1" x14ac:dyDescent="0.45">
      <c r="A197" s="25" t="s">
        <v>364</v>
      </c>
      <c r="B197" s="25" t="s">
        <v>333</v>
      </c>
      <c r="C197" s="25" t="s">
        <v>365</v>
      </c>
      <c r="D197" s="25">
        <v>19</v>
      </c>
      <c r="E197" s="25">
        <v>19</v>
      </c>
      <c r="F197" s="25">
        <v>19</v>
      </c>
      <c r="G197" s="25">
        <v>19</v>
      </c>
      <c r="H197" s="25">
        <v>19</v>
      </c>
      <c r="I197" s="25">
        <v>17</v>
      </c>
    </row>
    <row r="198" spans="1:9" hidden="1" x14ac:dyDescent="0.45">
      <c r="A198" s="25" t="s">
        <v>366</v>
      </c>
      <c r="B198" s="25" t="s">
        <v>333</v>
      </c>
      <c r="C198" s="25" t="s">
        <v>367</v>
      </c>
      <c r="D198" s="25">
        <v>4</v>
      </c>
      <c r="E198" s="25">
        <v>4</v>
      </c>
      <c r="F198" s="25">
        <v>4</v>
      </c>
      <c r="G198" s="25">
        <v>4</v>
      </c>
      <c r="H198" s="25">
        <v>4</v>
      </c>
      <c r="I198" s="25">
        <v>4</v>
      </c>
    </row>
    <row r="199" spans="1:9" hidden="1" x14ac:dyDescent="0.45">
      <c r="A199" s="25" t="s">
        <v>217</v>
      </c>
      <c r="B199" s="25" t="s">
        <v>333</v>
      </c>
      <c r="C199" s="25" t="s">
        <v>368</v>
      </c>
      <c r="D199" s="25">
        <v>52</v>
      </c>
      <c r="E199" s="25">
        <v>52</v>
      </c>
      <c r="F199" s="25">
        <v>52</v>
      </c>
      <c r="G199" s="25">
        <v>52</v>
      </c>
      <c r="H199" s="25">
        <v>52</v>
      </c>
      <c r="I199" s="25">
        <v>103</v>
      </c>
    </row>
    <row r="200" spans="1:9" hidden="1" x14ac:dyDescent="0.45">
      <c r="A200" s="25" t="s">
        <v>219</v>
      </c>
      <c r="B200" s="25" t="s">
        <v>333</v>
      </c>
      <c r="C200" s="25" t="s">
        <v>94</v>
      </c>
      <c r="D200" s="25" t="s">
        <v>44</v>
      </c>
      <c r="E200" s="25">
        <v>48</v>
      </c>
      <c r="F200" s="25">
        <v>48</v>
      </c>
      <c r="G200" s="25">
        <v>14</v>
      </c>
      <c r="H200" s="25">
        <v>14</v>
      </c>
      <c r="I200" s="25">
        <v>41</v>
      </c>
    </row>
    <row r="201" spans="1:9" hidden="1" x14ac:dyDescent="0.45">
      <c r="A201" s="25" t="s">
        <v>220</v>
      </c>
      <c r="B201" s="25" t="s">
        <v>369</v>
      </c>
      <c r="C201" s="25" t="s">
        <v>370</v>
      </c>
      <c r="D201" s="25" t="s">
        <v>44</v>
      </c>
      <c r="E201" s="25">
        <v>16</v>
      </c>
      <c r="F201" s="25">
        <v>16</v>
      </c>
      <c r="G201" s="25">
        <v>5</v>
      </c>
      <c r="H201" s="25">
        <v>5</v>
      </c>
      <c r="I201" s="25">
        <v>15</v>
      </c>
    </row>
    <row r="202" spans="1:9" hidden="1" x14ac:dyDescent="0.45">
      <c r="A202" s="20" t="s">
        <v>371</v>
      </c>
      <c r="B202" s="20"/>
      <c r="C202" s="20"/>
      <c r="D202" s="20">
        <v>87</v>
      </c>
      <c r="E202" s="20">
        <v>151</v>
      </c>
      <c r="F202" s="20">
        <v>151</v>
      </c>
      <c r="G202" s="20">
        <v>94</v>
      </c>
      <c r="H202" s="20">
        <v>94</v>
      </c>
      <c r="I202" s="20">
        <v>191</v>
      </c>
    </row>
    <row r="203" spans="1:9" hidden="1" x14ac:dyDescent="0.45">
      <c r="A203" s="20" t="s">
        <v>372</v>
      </c>
      <c r="B203" s="20"/>
      <c r="C203" s="20"/>
      <c r="D203" s="20">
        <v>2747</v>
      </c>
      <c r="E203" s="20">
        <v>2601</v>
      </c>
      <c r="F203" s="20">
        <v>2862</v>
      </c>
      <c r="G203" s="20">
        <v>3276</v>
      </c>
      <c r="H203" s="20">
        <v>3276</v>
      </c>
      <c r="I203" s="20">
        <v>3138</v>
      </c>
    </row>
    <row r="204" spans="1:9" hidden="1" x14ac:dyDescent="0.45">
      <c r="A204" s="62" t="s">
        <v>373</v>
      </c>
      <c r="B204" s="63"/>
      <c r="C204" s="63"/>
      <c r="D204" s="63"/>
      <c r="E204" s="63"/>
      <c r="F204" s="63"/>
      <c r="G204" s="63"/>
      <c r="H204" s="63"/>
      <c r="I204" s="64"/>
    </row>
    <row r="205" spans="1:9" hidden="1" x14ac:dyDescent="0.45">
      <c r="A205" s="65"/>
      <c r="B205" s="48"/>
      <c r="C205" s="48"/>
      <c r="D205" s="48"/>
      <c r="E205" s="48"/>
      <c r="F205" s="48"/>
      <c r="G205" s="48"/>
      <c r="H205" s="48"/>
      <c r="I205" s="66"/>
    </row>
    <row r="206" spans="1:9" hidden="1" x14ac:dyDescent="0.45">
      <c r="A206" s="67"/>
      <c r="B206" s="68"/>
      <c r="C206" s="68"/>
      <c r="D206" s="68"/>
      <c r="E206" s="68"/>
      <c r="F206" s="68"/>
      <c r="G206" s="68"/>
      <c r="H206" s="68"/>
      <c r="I206" s="69"/>
    </row>
    <row r="207" spans="1:9" x14ac:dyDescent="0.45">
      <c r="A207" s="25" t="s">
        <v>224</v>
      </c>
      <c r="B207" s="25" t="s">
        <v>336</v>
      </c>
      <c r="C207" s="25" t="s">
        <v>168</v>
      </c>
      <c r="D207" s="25">
        <v>50</v>
      </c>
      <c r="E207" s="25">
        <v>50</v>
      </c>
      <c r="F207" s="25">
        <v>50</v>
      </c>
      <c r="G207" s="25">
        <v>50</v>
      </c>
      <c r="H207" s="25">
        <v>50</v>
      </c>
      <c r="I207" s="25">
        <v>39</v>
      </c>
    </row>
    <row r="208" spans="1:9" x14ac:dyDescent="0.45">
      <c r="A208" s="25" t="s">
        <v>225</v>
      </c>
      <c r="B208" s="25" t="s">
        <v>336</v>
      </c>
      <c r="C208" s="25" t="s">
        <v>168</v>
      </c>
      <c r="D208" s="25">
        <v>50</v>
      </c>
      <c r="E208" s="25">
        <v>50</v>
      </c>
      <c r="F208" s="25">
        <v>50</v>
      </c>
      <c r="G208" s="25">
        <v>50</v>
      </c>
      <c r="H208" s="25">
        <v>50</v>
      </c>
      <c r="I208" s="25">
        <v>40</v>
      </c>
    </row>
    <row r="209" spans="1:9" x14ac:dyDescent="0.45">
      <c r="A209" s="25" t="s">
        <v>374</v>
      </c>
      <c r="B209" s="25" t="s">
        <v>375</v>
      </c>
      <c r="C209" s="25" t="s">
        <v>168</v>
      </c>
      <c r="D209" s="25" t="s">
        <v>44</v>
      </c>
      <c r="E209" s="25" t="s">
        <v>44</v>
      </c>
      <c r="F209" s="25">
        <v>60</v>
      </c>
      <c r="G209" s="25">
        <v>202</v>
      </c>
      <c r="H209" s="25">
        <v>333</v>
      </c>
      <c r="I209" s="25">
        <v>0</v>
      </c>
    </row>
    <row r="210" spans="1:9" hidden="1" x14ac:dyDescent="0.45">
      <c r="A210" s="20" t="s">
        <v>376</v>
      </c>
      <c r="B210" s="20"/>
      <c r="C210" s="20"/>
      <c r="D210" s="20">
        <v>100</v>
      </c>
      <c r="E210" s="20">
        <v>100</v>
      </c>
      <c r="F210" s="20">
        <v>160</v>
      </c>
      <c r="G210" s="20">
        <v>302</v>
      </c>
      <c r="H210" s="20">
        <v>433</v>
      </c>
      <c r="I210" s="20">
        <v>79</v>
      </c>
    </row>
    <row r="211" spans="1:9" hidden="1" x14ac:dyDescent="0.45">
      <c r="A211" s="20" t="s">
        <v>227</v>
      </c>
      <c r="B211" s="20"/>
      <c r="C211" s="20"/>
      <c r="D211" s="20">
        <v>2847</v>
      </c>
      <c r="E211" s="20">
        <v>2701</v>
      </c>
      <c r="F211" s="20">
        <v>3022</v>
      </c>
      <c r="G211" s="20">
        <v>3578</v>
      </c>
      <c r="H211" s="20">
        <v>3709</v>
      </c>
      <c r="I211" s="20">
        <v>3217</v>
      </c>
    </row>
    <row r="212" spans="1:9" hidden="1" x14ac:dyDescent="0.45">
      <c r="A212" s="62" t="s">
        <v>377</v>
      </c>
      <c r="B212" s="63"/>
      <c r="C212" s="63"/>
      <c r="D212" s="63"/>
      <c r="E212" s="63"/>
      <c r="F212" s="63"/>
      <c r="G212" s="63"/>
      <c r="H212" s="63"/>
      <c r="I212" s="64"/>
    </row>
    <row r="213" spans="1:9" hidden="1" x14ac:dyDescent="0.45">
      <c r="A213" s="67"/>
      <c r="B213" s="68"/>
      <c r="C213" s="68"/>
      <c r="D213" s="68"/>
      <c r="E213" s="68"/>
      <c r="F213" s="68"/>
      <c r="G213" s="68"/>
      <c r="H213" s="68"/>
      <c r="I213" s="69"/>
    </row>
    <row r="214" spans="1:9" hidden="1" x14ac:dyDescent="0.45">
      <c r="A214" s="20" t="s">
        <v>378</v>
      </c>
      <c r="B214" s="20"/>
      <c r="C214" s="20"/>
      <c r="D214" s="20">
        <v>340</v>
      </c>
      <c r="E214" s="20">
        <v>340</v>
      </c>
      <c r="F214" s="20">
        <v>340</v>
      </c>
      <c r="G214" s="20">
        <v>340</v>
      </c>
      <c r="H214" s="20">
        <v>340</v>
      </c>
      <c r="I214" s="20">
        <v>257</v>
      </c>
    </row>
    <row r="215" spans="1:9" hidden="1" x14ac:dyDescent="0.45">
      <c r="A215" s="28" t="s">
        <v>379</v>
      </c>
      <c r="B215" s="28"/>
      <c r="C215" s="28"/>
      <c r="D215" s="28">
        <v>38719</v>
      </c>
      <c r="E215" s="28">
        <v>39772</v>
      </c>
      <c r="F215" s="28">
        <v>43835</v>
      </c>
      <c r="G215" s="28">
        <v>45940</v>
      </c>
      <c r="H215" s="28">
        <v>46221</v>
      </c>
      <c r="I215" s="28">
        <v>40543</v>
      </c>
    </row>
  </sheetData>
  <autoFilter ref="A1:I215" xr:uid="{320A9720-67CB-484A-945B-FCF217879BC9}">
    <filterColumn colId="2">
      <filters>
        <filter val="Solar"/>
      </filters>
    </filterColumn>
  </autoFilter>
  <mergeCells count="30">
    <mergeCell ref="A99:I100"/>
    <mergeCell ref="A2:I2"/>
    <mergeCell ref="A26:I27"/>
    <mergeCell ref="A41:I42"/>
    <mergeCell ref="A52:C52"/>
    <mergeCell ref="A53:I54"/>
    <mergeCell ref="A193:I195"/>
    <mergeCell ref="A204:I206"/>
    <mergeCell ref="A212:I213"/>
    <mergeCell ref="L1:Q1"/>
    <mergeCell ref="L2:Q2"/>
    <mergeCell ref="L3:Q3"/>
    <mergeCell ref="L6:Q6"/>
    <mergeCell ref="L8:Q8"/>
    <mergeCell ref="L9:Q9"/>
    <mergeCell ref="L10:Q10"/>
    <mergeCell ref="A109:I110"/>
    <mergeCell ref="A111:I111"/>
    <mergeCell ref="A149:I150"/>
    <mergeCell ref="A162:I164"/>
    <mergeCell ref="A176:I178"/>
    <mergeCell ref="A186:I187"/>
    <mergeCell ref="L14:Q14"/>
    <mergeCell ref="L15:Q15"/>
    <mergeCell ref="L4:Q4"/>
    <mergeCell ref="L5:Q5"/>
    <mergeCell ref="L7:Q7"/>
    <mergeCell ref="L11:Q11"/>
    <mergeCell ref="L12:Q12"/>
    <mergeCell ref="L13:Q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E42D-8C2A-4B4D-9517-2740BD7F58A3}">
  <dimension ref="A1:J16"/>
  <sheetViews>
    <sheetView workbookViewId="0">
      <selection activeCell="E16" sqref="E16:J16"/>
    </sheetView>
  </sheetViews>
  <sheetFormatPr defaultRowHeight="14.25" x14ac:dyDescent="0.45"/>
  <sheetData>
    <row r="1" spans="1:10" x14ac:dyDescent="0.45">
      <c r="A1" t="s">
        <v>442</v>
      </c>
    </row>
    <row r="2" spans="1:10" x14ac:dyDescent="0.45">
      <c r="B2" s="30" t="s">
        <v>0</v>
      </c>
      <c r="C2" s="30" t="s">
        <v>231</v>
      </c>
      <c r="D2" s="30" t="s">
        <v>232</v>
      </c>
      <c r="E2" s="30">
        <v>2020</v>
      </c>
      <c r="F2" s="30">
        <v>2021</v>
      </c>
      <c r="G2" s="30">
        <v>2022</v>
      </c>
      <c r="H2" s="30">
        <v>2023</v>
      </c>
      <c r="I2" s="30">
        <v>2024</v>
      </c>
      <c r="J2" s="30" t="s">
        <v>233</v>
      </c>
    </row>
    <row r="3" spans="1:10" x14ac:dyDescent="0.45">
      <c r="B3" s="25" t="s">
        <v>167</v>
      </c>
      <c r="C3" s="25" t="s">
        <v>339</v>
      </c>
      <c r="D3" s="25" t="s">
        <v>168</v>
      </c>
      <c r="E3" s="25">
        <v>100</v>
      </c>
      <c r="F3" s="25">
        <v>100</v>
      </c>
      <c r="G3" s="25">
        <v>100</v>
      </c>
      <c r="H3" s="25">
        <v>100</v>
      </c>
      <c r="I3" s="25">
        <v>100</v>
      </c>
      <c r="J3" s="25">
        <v>96</v>
      </c>
    </row>
    <row r="4" spans="1:10" x14ac:dyDescent="0.45">
      <c r="B4" s="25" t="s">
        <v>169</v>
      </c>
      <c r="C4" s="25" t="s">
        <v>339</v>
      </c>
      <c r="D4" s="25" t="s">
        <v>168</v>
      </c>
      <c r="E4" s="25">
        <v>100</v>
      </c>
      <c r="F4" s="25">
        <v>100</v>
      </c>
      <c r="G4" s="25">
        <v>100</v>
      </c>
      <c r="H4" s="25">
        <v>100</v>
      </c>
      <c r="I4" s="25">
        <v>100</v>
      </c>
      <c r="J4" s="25">
        <v>96</v>
      </c>
    </row>
    <row r="5" spans="1:10" x14ac:dyDescent="0.45">
      <c r="B5" s="25" t="s">
        <v>170</v>
      </c>
      <c r="C5" s="25" t="s">
        <v>339</v>
      </c>
      <c r="D5" s="25" t="s">
        <v>168</v>
      </c>
      <c r="E5" s="25">
        <v>100</v>
      </c>
      <c r="F5" s="25">
        <v>100</v>
      </c>
      <c r="G5" s="25">
        <v>100</v>
      </c>
      <c r="H5" s="25">
        <v>100</v>
      </c>
      <c r="I5" s="25">
        <v>100</v>
      </c>
      <c r="J5" s="25">
        <v>96</v>
      </c>
    </row>
    <row r="6" spans="1:10" x14ac:dyDescent="0.45">
      <c r="B6" s="25" t="s">
        <v>171</v>
      </c>
      <c r="C6" s="25" t="s">
        <v>339</v>
      </c>
      <c r="D6" s="25" t="s">
        <v>168</v>
      </c>
      <c r="E6" s="25">
        <v>100</v>
      </c>
      <c r="F6" s="25">
        <v>100</v>
      </c>
      <c r="G6" s="25">
        <v>100</v>
      </c>
      <c r="H6" s="25">
        <v>100</v>
      </c>
      <c r="I6" s="25">
        <v>100</v>
      </c>
      <c r="J6" s="25">
        <v>96</v>
      </c>
    </row>
    <row r="7" spans="1:10" x14ac:dyDescent="0.45">
      <c r="B7" s="25" t="s">
        <v>172</v>
      </c>
      <c r="C7" s="25" t="s">
        <v>340</v>
      </c>
      <c r="D7" s="25" t="s">
        <v>168</v>
      </c>
      <c r="E7" s="25">
        <v>12</v>
      </c>
      <c r="F7" s="25">
        <v>12</v>
      </c>
      <c r="G7" s="25">
        <v>12</v>
      </c>
      <c r="H7" s="25">
        <v>12</v>
      </c>
      <c r="I7" s="25">
        <v>12</v>
      </c>
      <c r="J7" s="25">
        <v>12</v>
      </c>
    </row>
    <row r="8" spans="1:10" x14ac:dyDescent="0.45">
      <c r="B8" s="25" t="s">
        <v>173</v>
      </c>
      <c r="C8" s="25" t="s">
        <v>311</v>
      </c>
      <c r="D8" s="25" t="s">
        <v>168</v>
      </c>
      <c r="E8" s="25">
        <v>18</v>
      </c>
      <c r="F8" s="25">
        <v>18</v>
      </c>
      <c r="G8" s="25">
        <v>18</v>
      </c>
      <c r="H8" s="25">
        <v>18</v>
      </c>
      <c r="I8" s="25">
        <v>18</v>
      </c>
      <c r="J8" s="25">
        <v>18</v>
      </c>
    </row>
    <row r="9" spans="1:10" x14ac:dyDescent="0.45">
      <c r="B9" s="25" t="s">
        <v>174</v>
      </c>
      <c r="C9" s="25" t="s">
        <v>341</v>
      </c>
      <c r="D9" s="25" t="s">
        <v>168</v>
      </c>
      <c r="E9" s="25" t="s">
        <v>44</v>
      </c>
      <c r="F9" s="25" t="s">
        <v>44</v>
      </c>
      <c r="G9" s="25">
        <v>100</v>
      </c>
      <c r="H9" s="25">
        <v>100</v>
      </c>
      <c r="I9" s="25">
        <v>100</v>
      </c>
      <c r="J9" s="25">
        <v>100</v>
      </c>
    </row>
    <row r="10" spans="1:10" x14ac:dyDescent="0.45">
      <c r="B10" s="25" t="s">
        <v>175</v>
      </c>
      <c r="C10" s="25" t="s">
        <v>342</v>
      </c>
      <c r="D10" s="25" t="s">
        <v>168</v>
      </c>
      <c r="E10" s="25" t="s">
        <v>44</v>
      </c>
      <c r="F10" s="25" t="s">
        <v>44</v>
      </c>
      <c r="G10" s="25" t="s">
        <v>44</v>
      </c>
      <c r="H10" s="25" t="s">
        <v>44</v>
      </c>
      <c r="I10" s="25">
        <v>50</v>
      </c>
      <c r="J10" s="25">
        <v>50</v>
      </c>
    </row>
    <row r="11" spans="1:10" x14ac:dyDescent="0.45">
      <c r="B11" s="25" t="s">
        <v>176</v>
      </c>
      <c r="C11" s="25" t="s">
        <v>342</v>
      </c>
      <c r="D11" s="25" t="s">
        <v>168</v>
      </c>
      <c r="E11" s="25" t="s">
        <v>44</v>
      </c>
      <c r="F11" s="25" t="s">
        <v>44</v>
      </c>
      <c r="G11" s="25" t="s">
        <v>44</v>
      </c>
      <c r="H11" s="25" t="s">
        <v>44</v>
      </c>
      <c r="I11" s="25">
        <v>50</v>
      </c>
      <c r="J11" s="25">
        <v>50</v>
      </c>
    </row>
    <row r="12" spans="1:10" x14ac:dyDescent="0.45">
      <c r="B12" s="25" t="s">
        <v>177</v>
      </c>
      <c r="C12" s="25" t="s">
        <v>342</v>
      </c>
      <c r="D12" s="25" t="s">
        <v>168</v>
      </c>
      <c r="E12" s="25" t="s">
        <v>44</v>
      </c>
      <c r="F12" s="25" t="s">
        <v>44</v>
      </c>
      <c r="G12" s="25" t="s">
        <v>44</v>
      </c>
      <c r="H12" s="25" t="s">
        <v>44</v>
      </c>
      <c r="I12" s="25">
        <v>50</v>
      </c>
      <c r="J12" s="25">
        <v>50</v>
      </c>
    </row>
    <row r="13" spans="1:10" x14ac:dyDescent="0.45">
      <c r="B13" s="25" t="s">
        <v>224</v>
      </c>
      <c r="C13" s="25" t="s">
        <v>336</v>
      </c>
      <c r="D13" s="25" t="s">
        <v>168</v>
      </c>
      <c r="E13" s="25">
        <v>50</v>
      </c>
      <c r="F13" s="25">
        <v>50</v>
      </c>
      <c r="G13" s="25">
        <v>50</v>
      </c>
      <c r="H13" s="25">
        <v>50</v>
      </c>
      <c r="I13" s="25">
        <v>50</v>
      </c>
      <c r="J13" s="25">
        <v>39</v>
      </c>
    </row>
    <row r="14" spans="1:10" x14ac:dyDescent="0.45">
      <c r="B14" s="25" t="s">
        <v>225</v>
      </c>
      <c r="C14" s="25" t="s">
        <v>336</v>
      </c>
      <c r="D14" s="25" t="s">
        <v>168</v>
      </c>
      <c r="E14" s="25">
        <v>50</v>
      </c>
      <c r="F14" s="25">
        <v>50</v>
      </c>
      <c r="G14" s="25">
        <v>50</v>
      </c>
      <c r="H14" s="25">
        <v>50</v>
      </c>
      <c r="I14" s="25">
        <v>50</v>
      </c>
      <c r="J14" s="25">
        <v>40</v>
      </c>
    </row>
    <row r="15" spans="1:10" x14ac:dyDescent="0.45">
      <c r="B15" s="25" t="s">
        <v>374</v>
      </c>
      <c r="C15" s="25" t="s">
        <v>375</v>
      </c>
      <c r="D15" s="25" t="s">
        <v>168</v>
      </c>
      <c r="E15" s="25" t="s">
        <v>44</v>
      </c>
      <c r="F15" s="25" t="s">
        <v>44</v>
      </c>
      <c r="G15" s="25">
        <v>60</v>
      </c>
      <c r="H15" s="25">
        <v>202</v>
      </c>
      <c r="I15" s="25">
        <v>333</v>
      </c>
      <c r="J15" s="25">
        <v>0</v>
      </c>
    </row>
    <row r="16" spans="1:10" x14ac:dyDescent="0.45">
      <c r="E16">
        <f>SUM(E3:E15)</f>
        <v>530</v>
      </c>
      <c r="F16">
        <f t="shared" ref="F16:J16" si="0">SUM(F3:F15)</f>
        <v>530</v>
      </c>
      <c r="G16">
        <f t="shared" si="0"/>
        <v>690</v>
      </c>
      <c r="H16">
        <f t="shared" si="0"/>
        <v>832</v>
      </c>
      <c r="I16">
        <f t="shared" si="0"/>
        <v>1113</v>
      </c>
      <c r="J16">
        <f t="shared" si="0"/>
        <v>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DC6D-6B78-4496-B899-86B65BC9C47D}">
  <dimension ref="A1:J41"/>
  <sheetViews>
    <sheetView workbookViewId="0">
      <selection activeCell="J42" sqref="J42"/>
    </sheetView>
  </sheetViews>
  <sheetFormatPr defaultRowHeight="14.25" x14ac:dyDescent="0.45"/>
  <sheetData>
    <row r="1" spans="1:8" x14ac:dyDescent="0.45">
      <c r="A1" s="4" t="s">
        <v>91</v>
      </c>
      <c r="B1" s="42" t="s">
        <v>92</v>
      </c>
      <c r="C1" s="40"/>
      <c r="D1" s="5">
        <v>6167.19</v>
      </c>
      <c r="E1" s="5">
        <v>7342.7</v>
      </c>
      <c r="F1" s="5">
        <v>6881.38</v>
      </c>
      <c r="G1" s="5">
        <v>2876.85</v>
      </c>
      <c r="H1" s="5">
        <v>2075.5500000000002</v>
      </c>
    </row>
    <row r="2" spans="1:8" x14ac:dyDescent="0.45">
      <c r="A2" s="4" t="s">
        <v>97</v>
      </c>
      <c r="B2" s="4" t="s">
        <v>98</v>
      </c>
      <c r="C2" s="4"/>
      <c r="D2" s="5">
        <v>8969.74</v>
      </c>
      <c r="E2" s="5">
        <v>8372.3799999999992</v>
      </c>
      <c r="F2" s="5">
        <v>7478.64</v>
      </c>
      <c r="G2" s="5">
        <v>3203</v>
      </c>
      <c r="H2" s="4">
        <v>782.26</v>
      </c>
    </row>
    <row r="3" spans="1:8" x14ac:dyDescent="0.45">
      <c r="A3" s="4" t="s">
        <v>101</v>
      </c>
      <c r="B3" s="42" t="s">
        <v>102</v>
      </c>
      <c r="C3" s="40"/>
      <c r="D3" s="5">
        <v>6136.2</v>
      </c>
      <c r="E3" s="5">
        <v>7923.41</v>
      </c>
      <c r="F3" s="5">
        <v>6764.89</v>
      </c>
      <c r="G3" s="5">
        <v>1546.82</v>
      </c>
      <c r="H3" s="4">
        <v>476.55</v>
      </c>
    </row>
    <row r="4" spans="1:8" x14ac:dyDescent="0.45">
      <c r="A4" s="4" t="s">
        <v>103</v>
      </c>
      <c r="B4" s="42" t="s">
        <v>104</v>
      </c>
      <c r="C4" s="40"/>
      <c r="D4" s="5">
        <v>4280.22</v>
      </c>
      <c r="E4" s="5">
        <v>3909.3</v>
      </c>
      <c r="F4" s="5">
        <v>3676.95</v>
      </c>
      <c r="G4" s="5">
        <v>3646.06</v>
      </c>
      <c r="H4" s="5">
        <v>3766.21</v>
      </c>
    </row>
    <row r="5" spans="1:8" x14ac:dyDescent="0.45">
      <c r="A5" s="4" t="s">
        <v>105</v>
      </c>
      <c r="B5" s="42" t="s">
        <v>106</v>
      </c>
      <c r="C5" s="40"/>
      <c r="D5" s="4" t="s">
        <v>44</v>
      </c>
      <c r="E5" s="4" t="s">
        <v>44</v>
      </c>
      <c r="F5" s="5">
        <v>1774.1</v>
      </c>
      <c r="G5" s="5">
        <v>3316.14</v>
      </c>
      <c r="H5" s="5">
        <v>1688.68</v>
      </c>
    </row>
    <row r="6" spans="1:8" x14ac:dyDescent="0.45">
      <c r="A6" s="4" t="s">
        <v>108</v>
      </c>
      <c r="B6" s="4" t="s">
        <v>104</v>
      </c>
      <c r="C6" s="4"/>
      <c r="D6" s="4" t="s">
        <v>44</v>
      </c>
      <c r="E6" s="4" t="s">
        <v>44</v>
      </c>
      <c r="F6" s="4" t="s">
        <v>44</v>
      </c>
      <c r="G6" s="5">
        <v>1205.57</v>
      </c>
      <c r="H6" s="5">
        <v>1948.5</v>
      </c>
    </row>
    <row r="7" spans="1:8" x14ac:dyDescent="0.45">
      <c r="A7" s="4" t="s">
        <v>109</v>
      </c>
      <c r="B7" s="42" t="s">
        <v>104</v>
      </c>
      <c r="C7" s="40"/>
      <c r="D7" s="4" t="s">
        <v>44</v>
      </c>
      <c r="E7" s="4" t="s">
        <v>44</v>
      </c>
      <c r="F7" s="4" t="s">
        <v>44</v>
      </c>
      <c r="G7" s="5">
        <v>4255.92</v>
      </c>
      <c r="H7" s="5">
        <v>7500.33</v>
      </c>
    </row>
    <row r="8" spans="1:8" x14ac:dyDescent="0.45">
      <c r="A8" s="4" t="s">
        <v>110</v>
      </c>
      <c r="B8" s="42" t="s">
        <v>104</v>
      </c>
      <c r="C8" s="40"/>
      <c r="D8" s="4" t="s">
        <v>44</v>
      </c>
      <c r="E8" s="4" t="s">
        <v>44</v>
      </c>
      <c r="F8" s="4" t="s">
        <v>44</v>
      </c>
      <c r="G8" s="4">
        <v>923.53</v>
      </c>
      <c r="H8" s="5">
        <v>1979.84</v>
      </c>
    </row>
    <row r="9" spans="1:8" x14ac:dyDescent="0.45">
      <c r="A9" s="4" t="s">
        <v>217</v>
      </c>
      <c r="B9" s="4" t="s">
        <v>218</v>
      </c>
      <c r="C9" s="4"/>
      <c r="D9" s="4">
        <v>412.91</v>
      </c>
      <c r="E9" s="4">
        <v>452.88</v>
      </c>
      <c r="F9" s="4">
        <v>406.69</v>
      </c>
      <c r="G9" s="4">
        <v>346.26</v>
      </c>
      <c r="H9" s="4">
        <v>324.54000000000002</v>
      </c>
    </row>
    <row r="10" spans="1:8" x14ac:dyDescent="0.45">
      <c r="H10" s="33">
        <f>SUM(H1:H9)</f>
        <v>20542.460000000003</v>
      </c>
    </row>
    <row r="15" spans="1:8" x14ac:dyDescent="0.45">
      <c r="D15">
        <f>2.34502968*8760</f>
        <v>20542.4599968</v>
      </c>
    </row>
    <row r="16" spans="1:8" x14ac:dyDescent="0.45">
      <c r="D16">
        <f>23154.81/8760</f>
        <v>2.6432431506849317</v>
      </c>
    </row>
    <row r="24" spans="3:10" x14ac:dyDescent="0.45">
      <c r="C24" s="4" t="s">
        <v>50</v>
      </c>
      <c r="D24" s="4" t="s">
        <v>51</v>
      </c>
      <c r="E24" s="4" t="s">
        <v>52</v>
      </c>
      <c r="F24" s="4">
        <v>209.9</v>
      </c>
      <c r="G24" s="4">
        <v>199.55</v>
      </c>
      <c r="H24" s="4">
        <v>245.53</v>
      </c>
      <c r="I24" s="4">
        <v>25.4</v>
      </c>
      <c r="J24" s="4">
        <v>0</v>
      </c>
    </row>
    <row r="25" spans="3:10" x14ac:dyDescent="0.45">
      <c r="C25" s="4" t="s">
        <v>64</v>
      </c>
      <c r="D25" s="4" t="s">
        <v>52</v>
      </c>
      <c r="E25" s="4"/>
      <c r="F25" s="4">
        <v>186.32</v>
      </c>
      <c r="G25" s="4">
        <v>620.78</v>
      </c>
      <c r="H25" s="4">
        <v>1022.68</v>
      </c>
      <c r="I25" s="4">
        <v>397.59</v>
      </c>
      <c r="J25" s="4">
        <v>358.99</v>
      </c>
    </row>
    <row r="26" spans="3:10" x14ac:dyDescent="0.45">
      <c r="C26" s="4" t="s">
        <v>65</v>
      </c>
      <c r="D26" s="4" t="s">
        <v>52</v>
      </c>
      <c r="E26" s="4"/>
      <c r="F26" s="4">
        <v>149.76</v>
      </c>
      <c r="G26" s="4">
        <v>445.54</v>
      </c>
      <c r="H26" s="4">
        <v>1304.3499999999999</v>
      </c>
      <c r="I26" s="4">
        <v>443.74</v>
      </c>
      <c r="J26" s="4">
        <v>211</v>
      </c>
    </row>
    <row r="27" spans="3:10" x14ac:dyDescent="0.45">
      <c r="C27" s="4" t="s">
        <v>69</v>
      </c>
      <c r="D27" s="4" t="s">
        <v>52</v>
      </c>
      <c r="E27" s="4"/>
      <c r="F27" s="4">
        <v>32.380000000000003</v>
      </c>
      <c r="G27" s="4">
        <v>112.91</v>
      </c>
      <c r="H27" s="4">
        <v>1219.58</v>
      </c>
      <c r="I27" s="4">
        <v>204.78</v>
      </c>
      <c r="J27" s="4">
        <v>0</v>
      </c>
    </row>
    <row r="28" spans="3:10" x14ac:dyDescent="0.45">
      <c r="C28" s="4" t="s">
        <v>72</v>
      </c>
      <c r="D28" s="4" t="s">
        <v>52</v>
      </c>
      <c r="E28" s="4"/>
      <c r="F28" s="4">
        <v>363.86</v>
      </c>
      <c r="G28" s="4">
        <v>337.07</v>
      </c>
      <c r="H28" s="4">
        <v>515.84</v>
      </c>
      <c r="I28" s="4">
        <v>329.16</v>
      </c>
      <c r="J28" s="4">
        <v>207.62</v>
      </c>
    </row>
    <row r="29" spans="3:10" x14ac:dyDescent="0.45">
      <c r="C29" s="4" t="s">
        <v>74</v>
      </c>
      <c r="D29" s="4" t="s">
        <v>52</v>
      </c>
      <c r="E29" s="4"/>
      <c r="F29" s="4">
        <v>50.83</v>
      </c>
      <c r="G29" s="4">
        <v>121.65</v>
      </c>
      <c r="H29" s="4">
        <v>329.95</v>
      </c>
      <c r="I29" s="4">
        <v>148.54</v>
      </c>
      <c r="J29" s="4">
        <v>54.18</v>
      </c>
    </row>
    <row r="30" spans="3:10" x14ac:dyDescent="0.45">
      <c r="C30" s="4" t="s">
        <v>77</v>
      </c>
      <c r="D30" s="4" t="s">
        <v>52</v>
      </c>
      <c r="E30" s="4"/>
      <c r="F30" s="4">
        <v>320.95999999999998</v>
      </c>
      <c r="G30" s="4">
        <v>384.03</v>
      </c>
      <c r="H30" s="4">
        <v>721.93</v>
      </c>
      <c r="I30" s="4">
        <v>483.59</v>
      </c>
      <c r="J30" s="4">
        <v>206.64</v>
      </c>
    </row>
    <row r="31" spans="3:10" x14ac:dyDescent="0.45">
      <c r="C31" s="4" t="s">
        <v>78</v>
      </c>
      <c r="D31" s="4" t="s">
        <v>52</v>
      </c>
      <c r="E31" s="4"/>
      <c r="F31" s="4">
        <v>259.33</v>
      </c>
      <c r="G31" s="4">
        <v>517.08000000000004</v>
      </c>
      <c r="H31" s="4">
        <v>1007.25</v>
      </c>
      <c r="I31" s="4">
        <v>521.94000000000005</v>
      </c>
      <c r="J31" s="4">
        <v>252.87</v>
      </c>
    </row>
    <row r="32" spans="3:10" x14ac:dyDescent="0.45">
      <c r="C32" s="4" t="s">
        <v>82</v>
      </c>
      <c r="D32" s="4" t="s">
        <v>52</v>
      </c>
      <c r="E32" s="4"/>
      <c r="F32" s="4">
        <v>277.45999999999998</v>
      </c>
      <c r="G32" s="4">
        <v>523.4</v>
      </c>
      <c r="H32" s="4">
        <v>794.25</v>
      </c>
      <c r="I32" s="4">
        <v>537.9</v>
      </c>
      <c r="J32" s="4">
        <v>453.69</v>
      </c>
    </row>
    <row r="33" spans="3:10" x14ac:dyDescent="0.45">
      <c r="C33" s="4" t="s">
        <v>83</v>
      </c>
      <c r="D33" s="4" t="s">
        <v>52</v>
      </c>
      <c r="E33" s="4"/>
      <c r="F33" s="4">
        <v>351.23</v>
      </c>
      <c r="G33" s="4">
        <v>537.57000000000005</v>
      </c>
      <c r="H33" s="4">
        <v>882.46</v>
      </c>
      <c r="I33" s="4">
        <v>386.13</v>
      </c>
      <c r="J33" s="4">
        <v>240.45</v>
      </c>
    </row>
    <row r="34" spans="3:10" x14ac:dyDescent="0.45">
      <c r="C34" s="4" t="s">
        <v>86</v>
      </c>
      <c r="D34" s="4" t="s">
        <v>52</v>
      </c>
      <c r="E34" s="4"/>
      <c r="F34" s="4">
        <v>338.08</v>
      </c>
      <c r="G34" s="4">
        <v>496.06</v>
      </c>
      <c r="H34" s="4">
        <v>867.49</v>
      </c>
      <c r="I34" s="4">
        <v>469.88</v>
      </c>
      <c r="J34" s="4">
        <v>200.96</v>
      </c>
    </row>
    <row r="35" spans="3:10" x14ac:dyDescent="0.45">
      <c r="C35" s="4" t="s">
        <v>87</v>
      </c>
      <c r="D35" s="4" t="s">
        <v>52</v>
      </c>
      <c r="E35" s="4"/>
      <c r="F35" s="4">
        <v>458.54</v>
      </c>
      <c r="G35" s="4">
        <v>606.66</v>
      </c>
      <c r="H35" s="4">
        <v>925.44</v>
      </c>
      <c r="I35" s="4">
        <v>556.15</v>
      </c>
      <c r="J35" s="4">
        <v>239.94</v>
      </c>
    </row>
    <row r="36" spans="3:10" x14ac:dyDescent="0.45">
      <c r="C36" s="4" t="s">
        <v>99</v>
      </c>
      <c r="D36" s="4" t="s">
        <v>100</v>
      </c>
      <c r="E36" s="4"/>
      <c r="F36" s="4">
        <v>2.0699999999999998</v>
      </c>
      <c r="G36" s="4">
        <v>0</v>
      </c>
      <c r="H36" s="4">
        <v>0</v>
      </c>
      <c r="I36" s="4">
        <v>0</v>
      </c>
      <c r="J36" s="4">
        <v>0</v>
      </c>
    </row>
    <row r="37" spans="3:10" x14ac:dyDescent="0.45">
      <c r="C37" s="4" t="s">
        <v>206</v>
      </c>
      <c r="D37" s="4" t="s">
        <v>52</v>
      </c>
      <c r="E37" s="4"/>
      <c r="F37" s="4">
        <v>496.14</v>
      </c>
      <c r="G37" s="4">
        <v>673</v>
      </c>
      <c r="H37" s="4">
        <v>705.43</v>
      </c>
      <c r="I37" s="4">
        <v>508.68</v>
      </c>
      <c r="J37" s="4">
        <v>268.58999999999997</v>
      </c>
    </row>
    <row r="38" spans="3:10" x14ac:dyDescent="0.45">
      <c r="C38" s="4" t="s">
        <v>207</v>
      </c>
      <c r="D38" s="4" t="s">
        <v>52</v>
      </c>
      <c r="E38" s="4"/>
      <c r="F38" s="4">
        <v>627.77</v>
      </c>
      <c r="G38" s="4">
        <v>737</v>
      </c>
      <c r="H38" s="4">
        <v>715.86</v>
      </c>
      <c r="I38" s="4">
        <v>518.42999999999995</v>
      </c>
      <c r="J38" s="4">
        <v>288.33</v>
      </c>
    </row>
    <row r="39" spans="3:10" x14ac:dyDescent="0.45">
      <c r="C39" s="4" t="s">
        <v>212</v>
      </c>
      <c r="D39" s="4" t="s">
        <v>213</v>
      </c>
      <c r="E39" s="4" t="s">
        <v>214</v>
      </c>
      <c r="F39" s="4">
        <v>59.52</v>
      </c>
      <c r="G39" s="4">
        <v>12</v>
      </c>
      <c r="H39" s="4">
        <v>0</v>
      </c>
      <c r="I39" s="4">
        <v>0</v>
      </c>
      <c r="J39" s="4">
        <v>0</v>
      </c>
    </row>
    <row r="40" spans="3:10" x14ac:dyDescent="0.45">
      <c r="J40">
        <f>SUM(J24:J39)</f>
        <v>2983.2599999999998</v>
      </c>
    </row>
    <row r="41" spans="3:10" x14ac:dyDescent="0.45">
      <c r="J41">
        <f>J40/8760</f>
        <v>0.34055479452054793</v>
      </c>
    </row>
  </sheetData>
  <mergeCells count="6">
    <mergeCell ref="B8:C8"/>
    <mergeCell ref="B1:C1"/>
    <mergeCell ref="B3:C3"/>
    <mergeCell ref="B4:C4"/>
    <mergeCell ref="B5:C5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488-FFE8-41BD-80C0-4BB763FD31DD}">
  <dimension ref="A1:S214"/>
  <sheetViews>
    <sheetView tabSelected="1" zoomScale="98" workbookViewId="0">
      <selection activeCell="E25" sqref="E25"/>
    </sheetView>
  </sheetViews>
  <sheetFormatPr defaultColWidth="15.59765625" defaultRowHeight="14.25" x14ac:dyDescent="0.45"/>
  <sheetData>
    <row r="1" spans="1:1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45">
      <c r="A2" s="44" t="s">
        <v>8</v>
      </c>
      <c r="B2" s="45"/>
      <c r="C2" s="45"/>
      <c r="D2" s="45"/>
      <c r="E2" s="45"/>
      <c r="F2" s="45"/>
      <c r="G2" s="45"/>
      <c r="H2" s="46"/>
    </row>
    <row r="3" spans="1:19" x14ac:dyDescent="0.45">
      <c r="A3" s="47" t="s">
        <v>9</v>
      </c>
      <c r="B3" s="48"/>
      <c r="C3" s="48"/>
      <c r="D3" s="48"/>
      <c r="E3" s="48"/>
      <c r="F3" s="48"/>
      <c r="G3" s="48"/>
      <c r="H3" s="48"/>
    </row>
    <row r="4" spans="1:19" x14ac:dyDescent="0.45">
      <c r="A4" s="4" t="s">
        <v>10</v>
      </c>
      <c r="B4" s="4" t="s">
        <v>11</v>
      </c>
      <c r="C4" s="4" t="s">
        <v>11</v>
      </c>
      <c r="D4" s="5">
        <v>11857.69</v>
      </c>
      <c r="E4" s="5">
        <v>12565.74</v>
      </c>
      <c r="F4" s="5">
        <v>10955.73</v>
      </c>
      <c r="G4" s="5">
        <v>12445.84</v>
      </c>
      <c r="H4" s="5">
        <v>13292.86</v>
      </c>
      <c r="Q4" t="s">
        <v>414</v>
      </c>
      <c r="R4" t="s">
        <v>415</v>
      </c>
      <c r="S4" t="s">
        <v>411</v>
      </c>
    </row>
    <row r="5" spans="1:19" x14ac:dyDescent="0.45">
      <c r="A5" s="4" t="s">
        <v>12</v>
      </c>
      <c r="B5" s="4" t="s">
        <v>11</v>
      </c>
      <c r="C5" s="4" t="s">
        <v>11</v>
      </c>
      <c r="D5" s="5">
        <v>5485.66</v>
      </c>
      <c r="E5" s="5">
        <v>3418.78</v>
      </c>
      <c r="F5" s="5">
        <v>3276.12</v>
      </c>
      <c r="G5" s="5">
        <v>4426.93</v>
      </c>
      <c r="H5" s="5">
        <v>4642.3100000000004</v>
      </c>
      <c r="J5" t="s">
        <v>406</v>
      </c>
      <c r="K5" t="s">
        <v>407</v>
      </c>
      <c r="L5" t="s">
        <v>408</v>
      </c>
      <c r="M5" t="s">
        <v>409</v>
      </c>
      <c r="N5" t="s">
        <v>410</v>
      </c>
      <c r="O5">
        <v>3.6688483440642421</v>
      </c>
      <c r="P5" t="s">
        <v>411</v>
      </c>
      <c r="Q5">
        <f>O5/(O5+O6)</f>
        <v>0.95799888870257255</v>
      </c>
      <c r="R5">
        <f>H40*Q5</f>
        <v>38226.397376632209</v>
      </c>
      <c r="S5">
        <f>R5/8760</f>
        <v>4.363743992766234</v>
      </c>
    </row>
    <row r="6" spans="1:19" x14ac:dyDescent="0.45">
      <c r="A6" s="4" t="s">
        <v>13</v>
      </c>
      <c r="B6" s="4" t="s">
        <v>11</v>
      </c>
      <c r="C6" s="4" t="s">
        <v>11</v>
      </c>
      <c r="D6" s="5">
        <v>6482.21</v>
      </c>
      <c r="E6" s="5">
        <v>6810.91</v>
      </c>
      <c r="F6" s="5">
        <v>6761.55</v>
      </c>
      <c r="G6" s="5">
        <v>6813.18</v>
      </c>
      <c r="H6" s="5">
        <v>6465.78</v>
      </c>
      <c r="J6" t="s">
        <v>406</v>
      </c>
      <c r="K6" t="s">
        <v>412</v>
      </c>
      <c r="L6" t="s">
        <v>408</v>
      </c>
      <c r="M6" t="s">
        <v>409</v>
      </c>
      <c r="N6" t="s">
        <v>410</v>
      </c>
      <c r="O6">
        <v>0.16085165593575779</v>
      </c>
      <c r="P6" t="s">
        <v>411</v>
      </c>
      <c r="Q6">
        <f>O6/(O6+O5)</f>
        <v>4.2001111297427424E-2</v>
      </c>
      <c r="R6">
        <f>H40*Q6</f>
        <v>1675.94262336779</v>
      </c>
      <c r="S6">
        <f>R6/8760</f>
        <v>0.19131765106938242</v>
      </c>
    </row>
    <row r="7" spans="1:19" x14ac:dyDescent="0.45">
      <c r="A7" s="4" t="s">
        <v>14</v>
      </c>
      <c r="B7" s="4" t="s">
        <v>11</v>
      </c>
      <c r="C7" s="4" t="s">
        <v>11</v>
      </c>
      <c r="D7" s="5">
        <v>4589.33</v>
      </c>
      <c r="E7" s="5">
        <v>5313.83</v>
      </c>
      <c r="F7" s="5">
        <v>4200.26</v>
      </c>
      <c r="G7" s="5">
        <v>3838.38</v>
      </c>
      <c r="H7" s="5">
        <v>5173.26</v>
      </c>
      <c r="O7">
        <f>SUBTOTAL(9,O5:O6)</f>
        <v>3.8296999999999999</v>
      </c>
      <c r="P7" t="s">
        <v>411</v>
      </c>
      <c r="S7">
        <f>SUM(S5:S6)</f>
        <v>4.5550616438356162</v>
      </c>
    </row>
    <row r="8" spans="1:19" x14ac:dyDescent="0.45">
      <c r="A8" s="4" t="s">
        <v>15</v>
      </c>
      <c r="B8" s="4" t="s">
        <v>11</v>
      </c>
      <c r="C8" s="4" t="s">
        <v>11</v>
      </c>
      <c r="D8" s="5">
        <v>1095.46</v>
      </c>
      <c r="E8" s="5">
        <v>1064.99</v>
      </c>
      <c r="F8" s="4">
        <v>933.85</v>
      </c>
      <c r="G8" s="4">
        <v>898.59</v>
      </c>
      <c r="H8" s="4">
        <v>775.37</v>
      </c>
      <c r="O8">
        <f>O7*8760</f>
        <v>33548.171999999999</v>
      </c>
      <c r="P8" t="s">
        <v>413</v>
      </c>
    </row>
    <row r="9" spans="1:19" x14ac:dyDescent="0.45">
      <c r="A9" s="4" t="s">
        <v>16</v>
      </c>
      <c r="B9" s="4" t="s">
        <v>11</v>
      </c>
      <c r="C9" s="4" t="s">
        <v>11</v>
      </c>
      <c r="D9" s="4">
        <v>747.16</v>
      </c>
      <c r="E9" s="4">
        <v>772.32</v>
      </c>
      <c r="F9" s="4">
        <v>795.68</v>
      </c>
      <c r="G9" s="4">
        <v>876.34</v>
      </c>
      <c r="H9" s="4">
        <v>973.58</v>
      </c>
    </row>
    <row r="10" spans="1:19" x14ac:dyDescent="0.45">
      <c r="A10" s="4" t="s">
        <v>17</v>
      </c>
      <c r="B10" s="4" t="s">
        <v>11</v>
      </c>
      <c r="C10" s="4" t="s">
        <v>11</v>
      </c>
      <c r="D10" s="4">
        <v>273.88</v>
      </c>
      <c r="E10" s="4">
        <v>231.19</v>
      </c>
      <c r="F10" s="4">
        <v>162.44</v>
      </c>
      <c r="G10" s="4">
        <v>263.29000000000002</v>
      </c>
      <c r="H10" s="4">
        <v>245.76</v>
      </c>
    </row>
    <row r="11" spans="1:19" x14ac:dyDescent="0.45">
      <c r="A11" s="4" t="s">
        <v>18</v>
      </c>
      <c r="B11" s="4" t="s">
        <v>11</v>
      </c>
      <c r="C11" s="4" t="s">
        <v>11</v>
      </c>
      <c r="D11" s="4">
        <v>469.47</v>
      </c>
      <c r="E11" s="4">
        <v>438.78</v>
      </c>
      <c r="F11" s="4">
        <v>373.03</v>
      </c>
      <c r="G11" s="4">
        <v>485.37</v>
      </c>
      <c r="H11" s="4">
        <v>457.4</v>
      </c>
    </row>
    <row r="12" spans="1:19" x14ac:dyDescent="0.45">
      <c r="A12" s="4" t="s">
        <v>19</v>
      </c>
      <c r="B12" s="4" t="s">
        <v>11</v>
      </c>
      <c r="C12" s="4" t="s">
        <v>11</v>
      </c>
      <c r="D12" s="4">
        <v>176.58</v>
      </c>
      <c r="E12" s="4">
        <v>235.02</v>
      </c>
      <c r="F12" s="4">
        <v>256.06</v>
      </c>
      <c r="G12" s="4">
        <v>206.7</v>
      </c>
      <c r="H12" s="4">
        <v>205.12</v>
      </c>
    </row>
    <row r="13" spans="1:19" x14ac:dyDescent="0.45">
      <c r="A13" s="4" t="s">
        <v>20</v>
      </c>
      <c r="B13" s="4" t="s">
        <v>11</v>
      </c>
      <c r="C13" s="4" t="s">
        <v>11</v>
      </c>
      <c r="D13" s="4">
        <v>609.4</v>
      </c>
      <c r="E13" s="4">
        <v>640.78</v>
      </c>
      <c r="F13" s="4">
        <v>616.96</v>
      </c>
      <c r="G13" s="4">
        <v>494.96</v>
      </c>
      <c r="H13" s="4">
        <v>453.75</v>
      </c>
    </row>
    <row r="14" spans="1:19" x14ac:dyDescent="0.45">
      <c r="A14" s="4" t="s">
        <v>21</v>
      </c>
      <c r="B14" s="4" t="s">
        <v>11</v>
      </c>
      <c r="C14" s="4" t="s">
        <v>11</v>
      </c>
      <c r="D14" s="5">
        <v>4842.3</v>
      </c>
      <c r="E14" s="5">
        <v>4784.16</v>
      </c>
      <c r="F14" s="5">
        <v>3620.23</v>
      </c>
      <c r="G14" s="4">
        <v>107.72</v>
      </c>
      <c r="H14" s="5">
        <v>1774.04</v>
      </c>
    </row>
    <row r="15" spans="1:19" x14ac:dyDescent="0.45">
      <c r="A15" s="4" t="s">
        <v>22</v>
      </c>
      <c r="B15" s="4" t="s">
        <v>11</v>
      </c>
      <c r="C15" s="4" t="s">
        <v>11</v>
      </c>
      <c r="D15" s="4">
        <v>86.13</v>
      </c>
      <c r="E15" s="4">
        <v>82.4</v>
      </c>
      <c r="F15" s="4">
        <v>138.13999999999999</v>
      </c>
      <c r="G15" s="4">
        <v>131.94</v>
      </c>
      <c r="H15" s="4">
        <v>174.76</v>
      </c>
    </row>
    <row r="16" spans="1:19" x14ac:dyDescent="0.45">
      <c r="A16" s="38" t="s">
        <v>23</v>
      </c>
      <c r="B16" s="39"/>
      <c r="C16" s="39"/>
      <c r="D16" s="39"/>
      <c r="E16" s="39"/>
      <c r="F16" s="39"/>
      <c r="G16" s="39"/>
      <c r="H16" s="40"/>
    </row>
    <row r="17" spans="1:8" x14ac:dyDescent="0.45">
      <c r="A17" s="4" t="s">
        <v>24</v>
      </c>
      <c r="B17" s="4" t="s">
        <v>11</v>
      </c>
      <c r="C17" s="4" t="s">
        <v>11</v>
      </c>
      <c r="D17" s="4">
        <v>98.42</v>
      </c>
      <c r="E17" s="4">
        <v>108.72</v>
      </c>
      <c r="F17" s="4">
        <v>87.4</v>
      </c>
      <c r="G17" s="4">
        <v>71.27</v>
      </c>
      <c r="H17" s="4">
        <v>63.11</v>
      </c>
    </row>
    <row r="18" spans="1:8" x14ac:dyDescent="0.45">
      <c r="A18" s="4" t="s">
        <v>25</v>
      </c>
      <c r="B18" s="4" t="s">
        <v>11</v>
      </c>
      <c r="C18" s="4" t="s">
        <v>11</v>
      </c>
      <c r="D18" s="4">
        <v>34.04</v>
      </c>
      <c r="E18" s="4">
        <v>76.63</v>
      </c>
      <c r="F18" s="4">
        <v>58.9</v>
      </c>
      <c r="G18" s="4">
        <v>54.12</v>
      </c>
      <c r="H18" s="4">
        <v>72.239999999999995</v>
      </c>
    </row>
    <row r="19" spans="1:8" x14ac:dyDescent="0.45">
      <c r="A19" s="4" t="s">
        <v>26</v>
      </c>
      <c r="B19" s="4" t="s">
        <v>11</v>
      </c>
      <c r="C19" s="4" t="s">
        <v>11</v>
      </c>
      <c r="D19" s="4">
        <v>13.68</v>
      </c>
      <c r="E19" s="4">
        <v>31.9</v>
      </c>
      <c r="F19" s="4">
        <v>28.06</v>
      </c>
      <c r="G19" s="4">
        <v>32.450000000000003</v>
      </c>
      <c r="H19" s="4">
        <v>36.340000000000003</v>
      </c>
    </row>
    <row r="20" spans="1:8" x14ac:dyDescent="0.45">
      <c r="A20" s="4" t="s">
        <v>27</v>
      </c>
      <c r="B20" s="4" t="s">
        <v>11</v>
      </c>
      <c r="C20" s="4" t="s">
        <v>11</v>
      </c>
      <c r="D20" s="4">
        <v>29.54</v>
      </c>
      <c r="E20" s="4">
        <v>27.38</v>
      </c>
      <c r="F20" s="4">
        <v>22.46</v>
      </c>
      <c r="G20" s="4">
        <v>30.88</v>
      </c>
      <c r="H20" s="4">
        <v>30.38</v>
      </c>
    </row>
    <row r="21" spans="1:8" x14ac:dyDescent="0.45">
      <c r="A21" s="4" t="s">
        <v>28</v>
      </c>
      <c r="B21" s="4" t="s">
        <v>11</v>
      </c>
      <c r="C21" s="4" t="s">
        <v>11</v>
      </c>
      <c r="D21" s="4">
        <v>33.82</v>
      </c>
      <c r="E21" s="4">
        <v>32.479999999999997</v>
      </c>
      <c r="F21" s="4">
        <v>29.21</v>
      </c>
      <c r="G21" s="4">
        <v>36.130000000000003</v>
      </c>
      <c r="H21" s="4">
        <v>36.11</v>
      </c>
    </row>
    <row r="22" spans="1:8" x14ac:dyDescent="0.45">
      <c r="A22" s="4" t="s">
        <v>29</v>
      </c>
      <c r="B22" s="4" t="s">
        <v>11</v>
      </c>
      <c r="C22" s="4" t="s">
        <v>11</v>
      </c>
      <c r="D22" s="4">
        <v>15.11</v>
      </c>
      <c r="E22" s="4">
        <v>19.71</v>
      </c>
      <c r="F22" s="4">
        <v>10.95</v>
      </c>
      <c r="G22" s="4">
        <v>14.45</v>
      </c>
      <c r="H22" s="4">
        <v>15.83</v>
      </c>
    </row>
    <row r="23" spans="1:8" x14ac:dyDescent="0.45">
      <c r="A23" s="4" t="s">
        <v>30</v>
      </c>
      <c r="B23" s="4" t="s">
        <v>11</v>
      </c>
      <c r="C23" s="4" t="s">
        <v>11</v>
      </c>
      <c r="D23" s="4">
        <v>1.03</v>
      </c>
      <c r="E23" s="4">
        <v>1.96</v>
      </c>
      <c r="F23" s="4">
        <v>1.81</v>
      </c>
      <c r="G23" s="4">
        <v>1.74</v>
      </c>
      <c r="H23" s="4">
        <v>1.61</v>
      </c>
    </row>
    <row r="24" spans="1:8" x14ac:dyDescent="0.45">
      <c r="A24" s="4" t="s">
        <v>31</v>
      </c>
      <c r="B24" s="4" t="s">
        <v>11</v>
      </c>
      <c r="C24" s="4" t="s">
        <v>11</v>
      </c>
      <c r="D24" s="4">
        <v>3.04</v>
      </c>
      <c r="E24" s="4">
        <v>2.65</v>
      </c>
      <c r="F24" s="4">
        <v>2.15</v>
      </c>
      <c r="G24" s="4">
        <v>2.69</v>
      </c>
      <c r="H24" s="4">
        <v>1.88</v>
      </c>
    </row>
    <row r="25" spans="1:8" x14ac:dyDescent="0.45">
      <c r="A25" s="4" t="s">
        <v>32</v>
      </c>
      <c r="B25" s="4" t="s">
        <v>11</v>
      </c>
      <c r="C25" s="4" t="s">
        <v>11</v>
      </c>
      <c r="D25" s="4">
        <v>54.42</v>
      </c>
      <c r="E25" s="4">
        <v>62.09</v>
      </c>
      <c r="F25" s="4">
        <v>57.15</v>
      </c>
      <c r="G25" s="4">
        <v>41.2</v>
      </c>
      <c r="H25" s="4">
        <v>25.34</v>
      </c>
    </row>
    <row r="26" spans="1:8" x14ac:dyDescent="0.45">
      <c r="A26" s="4" t="s">
        <v>33</v>
      </c>
      <c r="B26" s="4" t="s">
        <v>11</v>
      </c>
      <c r="C26" s="4" t="s">
        <v>11</v>
      </c>
      <c r="D26" s="4">
        <v>137.66999999999999</v>
      </c>
      <c r="E26" s="4">
        <v>134.46</v>
      </c>
      <c r="F26" s="4">
        <v>134.74</v>
      </c>
      <c r="G26" s="4">
        <v>124.99</v>
      </c>
      <c r="H26" s="4">
        <v>116.03</v>
      </c>
    </row>
    <row r="27" spans="1:8" x14ac:dyDescent="0.45">
      <c r="A27" s="6" t="s">
        <v>34</v>
      </c>
      <c r="B27" s="6"/>
      <c r="C27" s="6"/>
      <c r="D27" s="7">
        <v>37136.04</v>
      </c>
      <c r="E27" s="7">
        <v>36856.879999999997</v>
      </c>
      <c r="F27" s="7">
        <v>32522.880000000001</v>
      </c>
      <c r="G27" s="7">
        <v>31399.16</v>
      </c>
      <c r="H27" s="7">
        <v>35032.870000000003</v>
      </c>
    </row>
    <row r="28" spans="1:8" x14ac:dyDescent="0.45">
      <c r="A28" s="38" t="s">
        <v>35</v>
      </c>
      <c r="B28" s="39"/>
      <c r="C28" s="39"/>
      <c r="D28" s="39"/>
      <c r="E28" s="39"/>
      <c r="F28" s="39"/>
      <c r="G28" s="39"/>
      <c r="H28" s="40"/>
    </row>
    <row r="29" spans="1:8" x14ac:dyDescent="0.45">
      <c r="A29" s="4" t="s">
        <v>36</v>
      </c>
      <c r="B29" s="4" t="s">
        <v>11</v>
      </c>
      <c r="C29" s="4" t="s">
        <v>11</v>
      </c>
      <c r="D29" s="4">
        <v>86.25</v>
      </c>
      <c r="E29" s="4">
        <v>113.23</v>
      </c>
      <c r="F29" s="4">
        <v>121.27</v>
      </c>
      <c r="G29" s="4">
        <v>103.61</v>
      </c>
      <c r="H29" s="4">
        <v>113.18</v>
      </c>
    </row>
    <row r="30" spans="1:8" x14ac:dyDescent="0.45">
      <c r="A30" s="4" t="s">
        <v>37</v>
      </c>
      <c r="B30" s="4" t="s">
        <v>11</v>
      </c>
      <c r="C30" s="4" t="s">
        <v>11</v>
      </c>
      <c r="D30" s="4">
        <v>408.53</v>
      </c>
      <c r="E30" s="4">
        <v>321.57</v>
      </c>
      <c r="F30" s="4">
        <v>353.87</v>
      </c>
      <c r="G30" s="4">
        <v>267.77</v>
      </c>
      <c r="H30" s="4">
        <v>221.59</v>
      </c>
    </row>
    <row r="31" spans="1:8" x14ac:dyDescent="0.45">
      <c r="A31" s="4" t="s">
        <v>38</v>
      </c>
      <c r="B31" s="4" t="s">
        <v>11</v>
      </c>
      <c r="C31" s="4" t="s">
        <v>11</v>
      </c>
      <c r="D31" s="4">
        <v>50.59</v>
      </c>
      <c r="E31" s="4">
        <v>0</v>
      </c>
      <c r="F31" s="4">
        <v>0</v>
      </c>
      <c r="G31" s="4">
        <v>0</v>
      </c>
      <c r="H31" s="4">
        <v>0</v>
      </c>
    </row>
    <row r="32" spans="1:8" x14ac:dyDescent="0.45">
      <c r="A32" s="4" t="s">
        <v>39</v>
      </c>
      <c r="B32" s="4" t="s">
        <v>11</v>
      </c>
      <c r="C32" s="4" t="s">
        <v>11</v>
      </c>
      <c r="D32" s="4">
        <v>384.43</v>
      </c>
      <c r="E32" s="4">
        <v>465.29</v>
      </c>
      <c r="F32" s="4">
        <v>412.66</v>
      </c>
      <c r="G32" s="4">
        <v>345</v>
      </c>
      <c r="H32" s="4">
        <v>415.97</v>
      </c>
    </row>
    <row r="33" spans="1:19" x14ac:dyDescent="0.45">
      <c r="A33" s="4" t="s">
        <v>40</v>
      </c>
      <c r="B33" s="4" t="s">
        <v>11</v>
      </c>
      <c r="C33" s="4" t="s">
        <v>11</v>
      </c>
      <c r="D33" s="4">
        <v>32.159999999999997</v>
      </c>
      <c r="E33" s="4">
        <v>36.590000000000003</v>
      </c>
      <c r="F33" s="4">
        <v>26.61</v>
      </c>
      <c r="G33" s="4">
        <v>22.79</v>
      </c>
      <c r="H33" s="4">
        <v>0</v>
      </c>
    </row>
    <row r="34" spans="1:19" x14ac:dyDescent="0.45">
      <c r="A34" s="4" t="s">
        <v>41</v>
      </c>
      <c r="B34" s="4" t="s">
        <v>11</v>
      </c>
      <c r="C34" s="4" t="s">
        <v>11</v>
      </c>
      <c r="D34" s="4">
        <v>566.25</v>
      </c>
      <c r="E34" s="4">
        <v>624.45000000000005</v>
      </c>
      <c r="F34" s="5">
        <v>1160.1500000000001</v>
      </c>
      <c r="G34" s="4">
        <v>548.6</v>
      </c>
      <c r="H34" s="4">
        <v>564.85</v>
      </c>
    </row>
    <row r="35" spans="1:19" x14ac:dyDescent="0.45">
      <c r="A35" s="4" t="s">
        <v>42</v>
      </c>
      <c r="B35" s="4" t="s">
        <v>11</v>
      </c>
      <c r="C35" s="4" t="s">
        <v>11</v>
      </c>
      <c r="D35" s="4">
        <v>34.33</v>
      </c>
      <c r="E35" s="4">
        <v>256.88</v>
      </c>
      <c r="F35" s="4">
        <v>230.99</v>
      </c>
      <c r="G35" s="4">
        <v>304.69</v>
      </c>
      <c r="H35" s="4">
        <v>268.07</v>
      </c>
    </row>
    <row r="36" spans="1:19" x14ac:dyDescent="0.45">
      <c r="A36" s="4" t="s">
        <v>43</v>
      </c>
      <c r="B36" s="4" t="s">
        <v>11</v>
      </c>
      <c r="C36" s="4" t="s">
        <v>11</v>
      </c>
      <c r="D36" s="4" t="s">
        <v>44</v>
      </c>
      <c r="E36" s="4">
        <v>91.84</v>
      </c>
      <c r="F36" s="4">
        <v>117.37</v>
      </c>
      <c r="G36" s="4">
        <v>127.29</v>
      </c>
      <c r="H36" s="4">
        <v>124.37</v>
      </c>
    </row>
    <row r="37" spans="1:19" x14ac:dyDescent="0.45">
      <c r="A37" s="4" t="s">
        <v>45</v>
      </c>
      <c r="B37" s="4" t="s">
        <v>11</v>
      </c>
      <c r="C37" s="4" t="s">
        <v>11</v>
      </c>
      <c r="D37" s="4" t="s">
        <v>44</v>
      </c>
      <c r="E37" s="4">
        <v>33.81</v>
      </c>
      <c r="F37" s="4">
        <v>54.06</v>
      </c>
      <c r="G37" s="4">
        <v>12.73</v>
      </c>
      <c r="H37" s="4">
        <v>0</v>
      </c>
    </row>
    <row r="38" spans="1:19" x14ac:dyDescent="0.45">
      <c r="A38" s="4" t="s">
        <v>46</v>
      </c>
      <c r="B38" s="4" t="s">
        <v>11</v>
      </c>
      <c r="C38" s="4" t="s">
        <v>11</v>
      </c>
      <c r="D38" s="4" t="s">
        <v>44</v>
      </c>
      <c r="E38" s="4" t="s">
        <v>44</v>
      </c>
      <c r="F38" s="4">
        <v>546.41999999999996</v>
      </c>
      <c r="G38" s="5">
        <v>3130.67</v>
      </c>
      <c r="H38" s="5">
        <v>3161.45</v>
      </c>
    </row>
    <row r="39" spans="1:19" x14ac:dyDescent="0.45">
      <c r="A39" s="6" t="s">
        <v>47</v>
      </c>
      <c r="B39" s="6"/>
      <c r="C39" s="8"/>
      <c r="D39" s="9">
        <v>1562.55</v>
      </c>
      <c r="E39" s="9">
        <v>1943.66</v>
      </c>
      <c r="F39" s="9">
        <v>3023.4</v>
      </c>
      <c r="G39" s="9">
        <v>4863.1499999999996</v>
      </c>
      <c r="H39" s="9">
        <v>4869.47</v>
      </c>
    </row>
    <row r="40" spans="1:19" x14ac:dyDescent="0.45">
      <c r="A40" s="49" t="s">
        <v>48</v>
      </c>
      <c r="B40" s="40"/>
      <c r="C40" s="10"/>
      <c r="D40" s="11">
        <v>38698.589999999997</v>
      </c>
      <c r="E40" s="11">
        <v>38800.54</v>
      </c>
      <c r="F40" s="11">
        <v>35546.28</v>
      </c>
      <c r="G40" s="11">
        <v>36262.31</v>
      </c>
      <c r="H40" s="11">
        <v>39902.339999999997</v>
      </c>
    </row>
    <row r="41" spans="1:19" x14ac:dyDescent="0.45">
      <c r="A41" s="38" t="s">
        <v>49</v>
      </c>
      <c r="B41" s="39"/>
      <c r="C41" s="39"/>
      <c r="D41" s="39"/>
      <c r="E41" s="39"/>
      <c r="F41" s="39"/>
      <c r="G41" s="39"/>
      <c r="H41" s="40"/>
    </row>
    <row r="42" spans="1:19" x14ac:dyDescent="0.45">
      <c r="A42" s="4" t="s">
        <v>50</v>
      </c>
      <c r="B42" s="4" t="s">
        <v>51</v>
      </c>
      <c r="C42" s="4" t="s">
        <v>52</v>
      </c>
      <c r="D42" s="4">
        <v>209.9</v>
      </c>
      <c r="E42" s="4">
        <v>199.55</v>
      </c>
      <c r="F42" s="4">
        <v>245.53</v>
      </c>
      <c r="G42" s="4">
        <v>25.4</v>
      </c>
      <c r="H42" s="4">
        <v>0</v>
      </c>
    </row>
    <row r="43" spans="1:19" x14ac:dyDescent="0.45">
      <c r="A43" s="4" t="s">
        <v>53</v>
      </c>
      <c r="B43" s="4" t="s">
        <v>54</v>
      </c>
      <c r="C43" s="4"/>
      <c r="D43" s="5">
        <v>1294.8399999999999</v>
      </c>
      <c r="E43" s="5">
        <v>1477.11</v>
      </c>
      <c r="F43" s="5">
        <v>1385.84</v>
      </c>
      <c r="G43" s="5">
        <v>1948.96</v>
      </c>
      <c r="H43" s="4">
        <v>341.73</v>
      </c>
      <c r="R43" t="s">
        <v>415</v>
      </c>
      <c r="S43" t="s">
        <v>411</v>
      </c>
    </row>
    <row r="44" spans="1:19" x14ac:dyDescent="0.45">
      <c r="A44" s="4" t="s">
        <v>55</v>
      </c>
      <c r="B44" s="4" t="s">
        <v>54</v>
      </c>
      <c r="C44" s="4"/>
      <c r="D44" s="4">
        <v>311.56</v>
      </c>
      <c r="E44" s="4">
        <v>223.96</v>
      </c>
      <c r="F44" s="4">
        <v>148.16</v>
      </c>
      <c r="G44" s="4">
        <v>19.420000000000002</v>
      </c>
      <c r="H44" s="4">
        <v>0</v>
      </c>
      <c r="J44" t="s">
        <v>406</v>
      </c>
      <c r="K44" t="s">
        <v>417</v>
      </c>
      <c r="L44" t="s">
        <v>418</v>
      </c>
      <c r="M44" t="s">
        <v>409</v>
      </c>
      <c r="N44" t="s">
        <v>410</v>
      </c>
      <c r="O44">
        <v>4.1931151360604453</v>
      </c>
      <c r="P44" t="s">
        <v>411</v>
      </c>
      <c r="Q44">
        <f>O44/(O47)</f>
        <v>0.74247279965656399</v>
      </c>
      <c r="R44">
        <f>43403.72*Q44</f>
        <v>32226.081503909601</v>
      </c>
      <c r="S44">
        <f>R44/8760</f>
        <v>3.678776427386941</v>
      </c>
    </row>
    <row r="45" spans="1:19" x14ac:dyDescent="0.45">
      <c r="A45" s="4" t="s">
        <v>56</v>
      </c>
      <c r="B45" s="4" t="s">
        <v>57</v>
      </c>
      <c r="C45" s="4" t="s">
        <v>58</v>
      </c>
      <c r="D45" s="5">
        <v>4315.3500000000004</v>
      </c>
      <c r="E45" s="5">
        <v>3123.82</v>
      </c>
      <c r="F45" s="5">
        <v>2609.9499999999998</v>
      </c>
      <c r="G45" s="5">
        <v>2635.92</v>
      </c>
      <c r="H45" s="5">
        <v>2209.13</v>
      </c>
      <c r="J45" t="s">
        <v>406</v>
      </c>
      <c r="K45" t="s">
        <v>419</v>
      </c>
      <c r="L45" t="s">
        <v>418</v>
      </c>
      <c r="M45" t="s">
        <v>409</v>
      </c>
      <c r="N45" t="s">
        <v>410</v>
      </c>
      <c r="O45">
        <v>7.9632278867724157E-2</v>
      </c>
      <c r="P45" t="s">
        <v>411</v>
      </c>
      <c r="Q45">
        <f>O45/O47</f>
        <v>1.4100447785342923E-2</v>
      </c>
      <c r="R45">
        <f t="shared" ref="R45:R46" si="0">43403.72*Q45</f>
        <v>612.01188754964437</v>
      </c>
      <c r="S45">
        <f t="shared" ref="S45:S46" si="1">R45/8760</f>
        <v>6.9864370724845248E-2</v>
      </c>
    </row>
    <row r="46" spans="1:19" x14ac:dyDescent="0.45">
      <c r="A46" s="4" t="s">
        <v>59</v>
      </c>
      <c r="B46" s="4" t="s">
        <v>57</v>
      </c>
      <c r="C46" s="4" t="s">
        <v>52</v>
      </c>
      <c r="D46" s="4">
        <v>299.86</v>
      </c>
      <c r="E46" s="4">
        <v>282.26</v>
      </c>
      <c r="F46" s="4">
        <v>220.43</v>
      </c>
      <c r="G46" s="4">
        <v>50.91</v>
      </c>
      <c r="H46" s="4">
        <v>15.23</v>
      </c>
      <c r="J46" t="s">
        <v>406</v>
      </c>
      <c r="K46" t="s">
        <v>420</v>
      </c>
      <c r="L46" t="s">
        <v>418</v>
      </c>
      <c r="M46" t="s">
        <v>409</v>
      </c>
      <c r="N46" t="s">
        <v>410</v>
      </c>
      <c r="O46">
        <v>1.374752585071831</v>
      </c>
      <c r="P46" t="s">
        <v>411</v>
      </c>
      <c r="Q46">
        <f>O46/O47</f>
        <v>0.24342675255809312</v>
      </c>
      <c r="R46">
        <f t="shared" si="0"/>
        <v>10565.626608540759</v>
      </c>
      <c r="S46">
        <f t="shared" si="1"/>
        <v>1.20612175896584</v>
      </c>
    </row>
    <row r="47" spans="1:19" x14ac:dyDescent="0.45">
      <c r="A47" s="4" t="s">
        <v>60</v>
      </c>
      <c r="B47" s="4" t="s">
        <v>57</v>
      </c>
      <c r="C47" s="4" t="s">
        <v>58</v>
      </c>
      <c r="D47" s="4">
        <v>0</v>
      </c>
      <c r="E47" s="4">
        <v>14.26</v>
      </c>
      <c r="F47" s="4">
        <v>98.83</v>
      </c>
      <c r="G47" s="4">
        <v>0</v>
      </c>
      <c r="H47" s="4">
        <v>0</v>
      </c>
      <c r="O47">
        <f>SUBTOTAL(9,O44:O46)</f>
        <v>5.6475</v>
      </c>
      <c r="P47" t="s">
        <v>411</v>
      </c>
      <c r="S47">
        <f>SUM(S44:S46)</f>
        <v>4.9547625570776264</v>
      </c>
    </row>
    <row r="48" spans="1:19" x14ac:dyDescent="0.45">
      <c r="A48" s="4" t="s">
        <v>61</v>
      </c>
      <c r="B48" s="4" t="s">
        <v>57</v>
      </c>
      <c r="C48" s="4" t="s">
        <v>58</v>
      </c>
      <c r="D48" s="5">
        <v>1476.33</v>
      </c>
      <c r="E48" s="5">
        <v>1481.98</v>
      </c>
      <c r="F48" s="5">
        <v>1640.82</v>
      </c>
      <c r="G48" s="5">
        <v>1276.42</v>
      </c>
      <c r="H48" s="4">
        <v>923.5</v>
      </c>
      <c r="O48">
        <f>O47*8760</f>
        <v>49472.1</v>
      </c>
      <c r="P48" t="s">
        <v>413</v>
      </c>
    </row>
    <row r="49" spans="1:8" x14ac:dyDescent="0.45">
      <c r="A49" s="6" t="s">
        <v>62</v>
      </c>
      <c r="B49" s="6"/>
      <c r="C49" s="6"/>
      <c r="D49" s="7">
        <v>7907.85</v>
      </c>
      <c r="E49" s="7">
        <v>6802.93</v>
      </c>
      <c r="F49" s="7">
        <v>6349.56</v>
      </c>
      <c r="G49" s="7">
        <v>5957.03</v>
      </c>
      <c r="H49" s="7">
        <v>3489.59</v>
      </c>
    </row>
    <row r="50" spans="1:8" x14ac:dyDescent="0.45">
      <c r="A50" s="38" t="s">
        <v>63</v>
      </c>
      <c r="B50" s="39"/>
      <c r="C50" s="39"/>
      <c r="D50" s="39"/>
      <c r="E50" s="39"/>
      <c r="F50" s="39"/>
      <c r="G50" s="39"/>
      <c r="H50" s="40"/>
    </row>
    <row r="51" spans="1:8" x14ac:dyDescent="0.45">
      <c r="A51" s="4" t="s">
        <v>64</v>
      </c>
      <c r="B51" s="4" t="s">
        <v>52</v>
      </c>
      <c r="C51" s="4"/>
      <c r="D51" s="4">
        <v>186.32</v>
      </c>
      <c r="E51" s="4">
        <v>620.78</v>
      </c>
      <c r="F51" s="4">
        <v>1022.68</v>
      </c>
      <c r="G51" s="4">
        <v>397.59</v>
      </c>
      <c r="H51" s="4">
        <v>358.99</v>
      </c>
    </row>
    <row r="52" spans="1:8" x14ac:dyDescent="0.45">
      <c r="A52" s="4" t="s">
        <v>65</v>
      </c>
      <c r="B52" s="4" t="s">
        <v>52</v>
      </c>
      <c r="C52" s="4"/>
      <c r="D52" s="4">
        <v>149.76</v>
      </c>
      <c r="E52" s="4">
        <v>445.54</v>
      </c>
      <c r="F52" s="4">
        <v>1304.3499999999999</v>
      </c>
      <c r="G52" s="4">
        <v>443.74</v>
      </c>
      <c r="H52" s="4">
        <v>211</v>
      </c>
    </row>
    <row r="53" spans="1:8" x14ac:dyDescent="0.45">
      <c r="A53" s="4" t="s">
        <v>66</v>
      </c>
      <c r="B53" s="4" t="s">
        <v>54</v>
      </c>
      <c r="C53" s="4"/>
      <c r="D53" s="4">
        <v>3.73</v>
      </c>
      <c r="E53" s="4">
        <v>12.4</v>
      </c>
      <c r="F53" s="4">
        <v>0</v>
      </c>
      <c r="G53" s="4">
        <v>0</v>
      </c>
      <c r="H53" s="4">
        <v>0</v>
      </c>
    </row>
    <row r="54" spans="1:8" x14ac:dyDescent="0.45">
      <c r="A54" s="4" t="s">
        <v>67</v>
      </c>
      <c r="B54" s="4" t="s">
        <v>54</v>
      </c>
      <c r="C54" s="4" t="s">
        <v>58</v>
      </c>
      <c r="D54" s="4">
        <v>346.32</v>
      </c>
      <c r="E54" s="4">
        <v>389.96</v>
      </c>
      <c r="F54" s="4">
        <v>357.21</v>
      </c>
      <c r="G54" s="4">
        <v>66.33</v>
      </c>
      <c r="H54" s="4">
        <v>92.01</v>
      </c>
    </row>
    <row r="55" spans="1:8" x14ac:dyDescent="0.45">
      <c r="A55" s="4" t="s">
        <v>68</v>
      </c>
      <c r="B55" s="4" t="s">
        <v>54</v>
      </c>
      <c r="C55" s="4" t="s">
        <v>58</v>
      </c>
      <c r="D55" s="4">
        <v>108.37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45">
      <c r="A56" s="4" t="s">
        <v>69</v>
      </c>
      <c r="B56" s="4" t="s">
        <v>52</v>
      </c>
      <c r="C56" s="4"/>
      <c r="D56" s="4">
        <v>32.380000000000003</v>
      </c>
      <c r="E56" s="4">
        <v>112.91</v>
      </c>
      <c r="F56" s="4">
        <v>1219.58</v>
      </c>
      <c r="G56" s="4">
        <v>204.78</v>
      </c>
      <c r="H56" s="4">
        <v>0</v>
      </c>
    </row>
    <row r="57" spans="1:8" x14ac:dyDescent="0.45">
      <c r="A57" s="4" t="s">
        <v>70</v>
      </c>
      <c r="B57" s="4" t="s">
        <v>54</v>
      </c>
      <c r="C57" s="4" t="s">
        <v>71</v>
      </c>
      <c r="D57" s="4">
        <v>3476.67</v>
      </c>
      <c r="E57" s="4">
        <v>3562.24</v>
      </c>
      <c r="F57" s="4">
        <v>5142</v>
      </c>
      <c r="G57" s="4">
        <v>587.84</v>
      </c>
      <c r="H57" s="4">
        <v>0</v>
      </c>
    </row>
    <row r="58" spans="1:8" x14ac:dyDescent="0.45">
      <c r="A58" s="4" t="s">
        <v>72</v>
      </c>
      <c r="B58" s="4" t="s">
        <v>52</v>
      </c>
      <c r="C58" s="4"/>
      <c r="D58" s="4">
        <v>363.86</v>
      </c>
      <c r="E58" s="4">
        <v>337.07</v>
      </c>
      <c r="F58" s="4">
        <v>515.84</v>
      </c>
      <c r="G58" s="4">
        <v>329.16</v>
      </c>
      <c r="H58" s="4">
        <v>207.62</v>
      </c>
    </row>
    <row r="59" spans="1:8" x14ac:dyDescent="0.45">
      <c r="A59" s="4" t="s">
        <v>73</v>
      </c>
      <c r="B59" s="4" t="s">
        <v>54</v>
      </c>
      <c r="C59" s="4" t="s">
        <v>58</v>
      </c>
      <c r="D59" s="4">
        <v>217.53</v>
      </c>
      <c r="E59" s="4">
        <v>284.36</v>
      </c>
      <c r="F59" s="4">
        <v>495.78</v>
      </c>
      <c r="G59" s="4">
        <v>179.04</v>
      </c>
      <c r="H59" s="4">
        <v>9.7100000000000009</v>
      </c>
    </row>
    <row r="60" spans="1:8" x14ac:dyDescent="0.45">
      <c r="A60" s="4" t="s">
        <v>74</v>
      </c>
      <c r="B60" s="4" t="s">
        <v>52</v>
      </c>
      <c r="C60" s="4"/>
      <c r="D60" s="4">
        <v>50.83</v>
      </c>
      <c r="E60" s="4">
        <v>121.65</v>
      </c>
      <c r="F60" s="4">
        <v>329.95</v>
      </c>
      <c r="G60" s="4">
        <v>148.54</v>
      </c>
      <c r="H60" s="4">
        <v>54.18</v>
      </c>
    </row>
    <row r="61" spans="1:8" x14ac:dyDescent="0.45">
      <c r="A61" s="4" t="s">
        <v>75</v>
      </c>
      <c r="B61" s="4" t="s">
        <v>54</v>
      </c>
      <c r="C61" s="4" t="s">
        <v>58</v>
      </c>
      <c r="D61" s="4">
        <v>896.74</v>
      </c>
      <c r="E61" s="4">
        <v>983.33</v>
      </c>
      <c r="F61" s="4">
        <v>1054.06</v>
      </c>
      <c r="G61" s="4">
        <v>1001.19</v>
      </c>
      <c r="H61" s="4">
        <v>903.87</v>
      </c>
    </row>
    <row r="62" spans="1:8" x14ac:dyDescent="0.45">
      <c r="A62" s="4" t="s">
        <v>76</v>
      </c>
      <c r="B62" s="4" t="s">
        <v>54</v>
      </c>
      <c r="C62" s="4" t="s">
        <v>58</v>
      </c>
      <c r="D62" s="4">
        <v>4087.33</v>
      </c>
      <c r="E62" s="4">
        <v>4088.44</v>
      </c>
      <c r="F62" s="4">
        <v>4300.5200000000004</v>
      </c>
      <c r="G62" s="4">
        <v>3901.33</v>
      </c>
      <c r="H62" s="4">
        <v>3965.85</v>
      </c>
    </row>
    <row r="63" spans="1:8" x14ac:dyDescent="0.45">
      <c r="A63" s="4" t="s">
        <v>77</v>
      </c>
      <c r="B63" s="4" t="s">
        <v>52</v>
      </c>
      <c r="C63" s="4"/>
      <c r="D63" s="4">
        <v>320.95999999999998</v>
      </c>
      <c r="E63" s="4">
        <v>384.03</v>
      </c>
      <c r="F63" s="4">
        <v>721.93</v>
      </c>
      <c r="G63" s="4">
        <v>483.59</v>
      </c>
      <c r="H63" s="4">
        <v>206.64</v>
      </c>
    </row>
    <row r="64" spans="1:8" x14ac:dyDescent="0.45">
      <c r="A64" s="4" t="s">
        <v>78</v>
      </c>
      <c r="B64" s="4" t="s">
        <v>52</v>
      </c>
      <c r="C64" s="4"/>
      <c r="D64" s="4">
        <v>259.33</v>
      </c>
      <c r="E64" s="4">
        <v>517.08000000000004</v>
      </c>
      <c r="F64" s="4">
        <v>1007.25</v>
      </c>
      <c r="G64" s="4">
        <v>521.94000000000005</v>
      </c>
      <c r="H64" s="4">
        <v>252.87</v>
      </c>
    </row>
    <row r="65" spans="1:8" x14ac:dyDescent="0.45">
      <c r="A65" s="4" t="s">
        <v>79</v>
      </c>
      <c r="B65" s="4" t="s">
        <v>54</v>
      </c>
      <c r="C65" s="4" t="s">
        <v>58</v>
      </c>
      <c r="D65" s="4">
        <v>700.74</v>
      </c>
      <c r="E65" s="4">
        <v>648.5</v>
      </c>
      <c r="F65" s="4">
        <v>791.03</v>
      </c>
      <c r="G65" s="4">
        <v>935.42</v>
      </c>
      <c r="H65" s="4">
        <v>813.48</v>
      </c>
    </row>
    <row r="66" spans="1:8" x14ac:dyDescent="0.45">
      <c r="A66" s="4" t="s">
        <v>80</v>
      </c>
      <c r="B66" s="4" t="s">
        <v>54</v>
      </c>
      <c r="C66" s="4" t="s">
        <v>58</v>
      </c>
      <c r="D66" s="4">
        <v>476.28</v>
      </c>
      <c r="E66" s="4">
        <v>639.4</v>
      </c>
      <c r="F66" s="4">
        <v>734.99</v>
      </c>
      <c r="G66" s="4">
        <v>538.22</v>
      </c>
      <c r="H66" s="4">
        <v>220.59</v>
      </c>
    </row>
    <row r="67" spans="1:8" x14ac:dyDescent="0.45">
      <c r="A67" s="4" t="s">
        <v>81</v>
      </c>
      <c r="B67" s="4" t="s">
        <v>54</v>
      </c>
      <c r="C67" s="4" t="s">
        <v>58</v>
      </c>
      <c r="D67" s="4">
        <v>338</v>
      </c>
      <c r="E67" s="4">
        <v>597.91999999999996</v>
      </c>
      <c r="F67" s="4">
        <v>836.38</v>
      </c>
      <c r="G67" s="4">
        <v>604.79</v>
      </c>
      <c r="H67" s="4">
        <v>541.20000000000005</v>
      </c>
    </row>
    <row r="68" spans="1:8" x14ac:dyDescent="0.45">
      <c r="A68" s="4" t="s">
        <v>82</v>
      </c>
      <c r="B68" s="4" t="s">
        <v>52</v>
      </c>
      <c r="C68" s="4"/>
      <c r="D68" s="4">
        <v>277.45999999999998</v>
      </c>
      <c r="E68" s="4">
        <v>523.4</v>
      </c>
      <c r="F68" s="4">
        <v>794.25</v>
      </c>
      <c r="G68" s="4">
        <v>537.9</v>
      </c>
      <c r="H68" s="4">
        <v>453.69</v>
      </c>
    </row>
    <row r="69" spans="1:8" x14ac:dyDescent="0.45">
      <c r="A69" s="4" t="s">
        <v>83</v>
      </c>
      <c r="B69" s="4" t="s">
        <v>52</v>
      </c>
      <c r="C69" s="4"/>
      <c r="D69" s="4">
        <v>351.23</v>
      </c>
      <c r="E69" s="4">
        <v>537.57000000000005</v>
      </c>
      <c r="F69" s="4">
        <v>882.46</v>
      </c>
      <c r="G69" s="4">
        <v>386.13</v>
      </c>
      <c r="H69" s="4">
        <v>240.45</v>
      </c>
    </row>
    <row r="70" spans="1:8" x14ac:dyDescent="0.45">
      <c r="A70" s="4" t="s">
        <v>84</v>
      </c>
      <c r="B70" s="4" t="s">
        <v>54</v>
      </c>
      <c r="C70" s="4" t="s">
        <v>58</v>
      </c>
      <c r="D70" s="4">
        <v>296.76</v>
      </c>
      <c r="E70" s="4">
        <v>568.04</v>
      </c>
      <c r="F70" s="4">
        <v>780.5</v>
      </c>
      <c r="G70" s="4">
        <v>452.52</v>
      </c>
      <c r="H70" s="4">
        <v>479.36</v>
      </c>
    </row>
    <row r="71" spans="1:8" x14ac:dyDescent="0.45">
      <c r="A71" s="4" t="s">
        <v>85</v>
      </c>
      <c r="B71" s="4" t="s">
        <v>54</v>
      </c>
      <c r="C71" s="4" t="s">
        <v>58</v>
      </c>
      <c r="D71" s="4">
        <v>347.69</v>
      </c>
      <c r="E71" s="4">
        <v>509.79</v>
      </c>
      <c r="F71" s="4">
        <v>675.93</v>
      </c>
      <c r="G71" s="4">
        <v>287.05</v>
      </c>
      <c r="H71" s="4">
        <v>207.55</v>
      </c>
    </row>
    <row r="72" spans="1:8" x14ac:dyDescent="0.45">
      <c r="A72" s="4" t="s">
        <v>86</v>
      </c>
      <c r="B72" s="4" t="s">
        <v>52</v>
      </c>
      <c r="C72" s="4"/>
      <c r="D72" s="4">
        <v>338.08</v>
      </c>
      <c r="E72" s="4">
        <v>496.06</v>
      </c>
      <c r="F72" s="4">
        <v>867.49</v>
      </c>
      <c r="G72" s="4">
        <v>469.88</v>
      </c>
      <c r="H72" s="4">
        <v>200.96</v>
      </c>
    </row>
    <row r="73" spans="1:8" x14ac:dyDescent="0.45">
      <c r="A73" s="4" t="s">
        <v>87</v>
      </c>
      <c r="B73" s="4" t="s">
        <v>52</v>
      </c>
      <c r="C73" s="4"/>
      <c r="D73" s="4">
        <v>458.54</v>
      </c>
      <c r="E73" s="4">
        <v>606.66</v>
      </c>
      <c r="F73" s="4">
        <v>925.44</v>
      </c>
      <c r="G73" s="4">
        <v>556.15</v>
      </c>
      <c r="H73" s="4">
        <v>239.94</v>
      </c>
    </row>
    <row r="74" spans="1:8" x14ac:dyDescent="0.45">
      <c r="A74" s="4" t="s">
        <v>88</v>
      </c>
      <c r="B74" s="4" t="s">
        <v>54</v>
      </c>
      <c r="C74" s="4"/>
      <c r="D74" s="4">
        <v>777.3</v>
      </c>
      <c r="E74" s="5">
        <v>1000.37</v>
      </c>
      <c r="F74" s="5">
        <v>1272.8900000000001</v>
      </c>
      <c r="G74" s="5">
        <v>1190.3800000000001</v>
      </c>
      <c r="H74" s="5">
        <v>1087.56</v>
      </c>
    </row>
    <row r="75" spans="1:8" x14ac:dyDescent="0.45">
      <c r="A75" s="4" t="s">
        <v>89</v>
      </c>
      <c r="B75" s="4" t="s">
        <v>90</v>
      </c>
      <c r="C75" s="4"/>
      <c r="D75" s="5">
        <v>2148.02</v>
      </c>
      <c r="E75" s="5">
        <v>2339.37</v>
      </c>
      <c r="F75" s="5">
        <v>2828.67</v>
      </c>
      <c r="G75" s="5">
        <v>2776.43</v>
      </c>
      <c r="H75" s="5">
        <v>2025.72</v>
      </c>
    </row>
    <row r="76" spans="1:8" x14ac:dyDescent="0.45">
      <c r="A76" s="4" t="s">
        <v>91</v>
      </c>
      <c r="B76" s="42" t="s">
        <v>92</v>
      </c>
      <c r="C76" s="40"/>
      <c r="D76" s="5">
        <v>6167.19</v>
      </c>
      <c r="E76" s="5">
        <v>7342.7</v>
      </c>
      <c r="F76" s="5">
        <v>6881.38</v>
      </c>
      <c r="G76" s="5">
        <v>2876.85</v>
      </c>
      <c r="H76" s="5">
        <v>2075.5500000000002</v>
      </c>
    </row>
    <row r="77" spans="1:8" x14ac:dyDescent="0.45">
      <c r="A77" s="4" t="s">
        <v>93</v>
      </c>
      <c r="B77" s="4" t="s">
        <v>94</v>
      </c>
      <c r="C77" s="4" t="s">
        <v>58</v>
      </c>
      <c r="D77" s="5">
        <v>5192.5</v>
      </c>
      <c r="E77" s="5">
        <v>7118.8</v>
      </c>
      <c r="F77" s="5">
        <v>6090.92</v>
      </c>
      <c r="G77" s="5">
        <v>4697.55</v>
      </c>
      <c r="H77" s="5">
        <v>3660.15</v>
      </c>
    </row>
    <row r="78" spans="1:8" x14ac:dyDescent="0.45">
      <c r="A78" s="4" t="s">
        <v>95</v>
      </c>
      <c r="B78" s="4" t="s">
        <v>94</v>
      </c>
      <c r="C78" s="4" t="s">
        <v>58</v>
      </c>
      <c r="D78" s="5">
        <v>7050.34</v>
      </c>
      <c r="E78" s="5">
        <v>7682.35</v>
      </c>
      <c r="F78" s="5">
        <v>7488.57</v>
      </c>
      <c r="G78" s="5">
        <v>6520.55</v>
      </c>
      <c r="H78" s="5">
        <v>7930.78</v>
      </c>
    </row>
    <row r="79" spans="1:8" x14ac:dyDescent="0.45">
      <c r="A79" s="4" t="s">
        <v>96</v>
      </c>
      <c r="B79" s="4" t="s">
        <v>94</v>
      </c>
      <c r="C79" s="4" t="s">
        <v>58</v>
      </c>
      <c r="D79" s="5">
        <v>5911.84</v>
      </c>
      <c r="E79" s="5">
        <v>6032.81</v>
      </c>
      <c r="F79" s="5">
        <v>7186.71</v>
      </c>
      <c r="G79" s="5">
        <v>6863.66</v>
      </c>
      <c r="H79" s="5">
        <v>6684.63</v>
      </c>
    </row>
    <row r="80" spans="1:8" x14ac:dyDescent="0.45">
      <c r="A80" s="4" t="s">
        <v>97</v>
      </c>
      <c r="B80" s="4" t="s">
        <v>98</v>
      </c>
      <c r="C80" s="4"/>
      <c r="D80" s="5">
        <v>8969.74</v>
      </c>
      <c r="E80" s="5">
        <v>8372.3799999999992</v>
      </c>
      <c r="F80" s="5">
        <v>7478.64</v>
      </c>
      <c r="G80" s="5">
        <v>3203</v>
      </c>
      <c r="H80" s="4">
        <v>782.26</v>
      </c>
    </row>
    <row r="81" spans="1:8" x14ac:dyDescent="0.45">
      <c r="A81" s="4" t="s">
        <v>99</v>
      </c>
      <c r="B81" s="4" t="s">
        <v>100</v>
      </c>
      <c r="C81" s="4"/>
      <c r="D81" s="4">
        <v>2.0699999999999998</v>
      </c>
      <c r="E81" s="4">
        <v>0</v>
      </c>
      <c r="F81" s="4">
        <v>0</v>
      </c>
      <c r="G81" s="4">
        <v>0</v>
      </c>
      <c r="H81" s="4">
        <v>0</v>
      </c>
    </row>
    <row r="82" spans="1:8" x14ac:dyDescent="0.45">
      <c r="A82" s="4" t="s">
        <v>101</v>
      </c>
      <c r="B82" s="42" t="s">
        <v>102</v>
      </c>
      <c r="C82" s="40"/>
      <c r="D82" s="5">
        <v>6136.2</v>
      </c>
      <c r="E82" s="5">
        <v>7923.41</v>
      </c>
      <c r="F82" s="5">
        <v>6764.89</v>
      </c>
      <c r="G82" s="5">
        <v>1546.82</v>
      </c>
      <c r="H82" s="4">
        <v>476.55</v>
      </c>
    </row>
    <row r="83" spans="1:8" x14ac:dyDescent="0.45">
      <c r="A83" s="4" t="s">
        <v>103</v>
      </c>
      <c r="B83" s="42" t="s">
        <v>104</v>
      </c>
      <c r="C83" s="40"/>
      <c r="D83" s="5">
        <v>4280.22</v>
      </c>
      <c r="E83" s="5">
        <v>3909.3</v>
      </c>
      <c r="F83" s="5">
        <v>3676.95</v>
      </c>
      <c r="G83" s="5">
        <v>3646.06</v>
      </c>
      <c r="H83" s="5">
        <v>3766.21</v>
      </c>
    </row>
    <row r="84" spans="1:8" x14ac:dyDescent="0.45">
      <c r="A84" s="4" t="s">
        <v>105</v>
      </c>
      <c r="B84" s="42" t="s">
        <v>106</v>
      </c>
      <c r="C84" s="40"/>
      <c r="D84" s="4" t="s">
        <v>44</v>
      </c>
      <c r="E84" s="4" t="s">
        <v>44</v>
      </c>
      <c r="F84" s="5">
        <v>1774.1</v>
      </c>
      <c r="G84" s="5">
        <v>3316.14</v>
      </c>
      <c r="H84" s="5">
        <v>1688.68</v>
      </c>
    </row>
    <row r="85" spans="1:8" x14ac:dyDescent="0.45">
      <c r="A85" s="4" t="s">
        <v>107</v>
      </c>
      <c r="B85" s="42" t="s">
        <v>94</v>
      </c>
      <c r="C85" s="40"/>
      <c r="D85" s="4" t="s">
        <v>44</v>
      </c>
      <c r="E85" s="4" t="s">
        <v>44</v>
      </c>
      <c r="F85" s="4">
        <v>77.56</v>
      </c>
      <c r="G85" s="4">
        <v>152.62</v>
      </c>
      <c r="H85" s="5">
        <v>3197.29</v>
      </c>
    </row>
    <row r="86" spans="1:8" x14ac:dyDescent="0.45">
      <c r="A86" s="4" t="s">
        <v>108</v>
      </c>
      <c r="B86" s="4" t="s">
        <v>104</v>
      </c>
      <c r="C86" s="4"/>
      <c r="D86" s="4" t="s">
        <v>44</v>
      </c>
      <c r="E86" s="4" t="s">
        <v>44</v>
      </c>
      <c r="F86" s="4" t="s">
        <v>44</v>
      </c>
      <c r="G86" s="5">
        <v>1205.57</v>
      </c>
      <c r="H86" s="5">
        <v>1948.5</v>
      </c>
    </row>
    <row r="87" spans="1:8" x14ac:dyDescent="0.45">
      <c r="A87" s="4" t="s">
        <v>109</v>
      </c>
      <c r="B87" s="42" t="s">
        <v>104</v>
      </c>
      <c r="C87" s="40"/>
      <c r="D87" s="4" t="s">
        <v>44</v>
      </c>
      <c r="E87" s="4" t="s">
        <v>44</v>
      </c>
      <c r="F87" s="4" t="s">
        <v>44</v>
      </c>
      <c r="G87" s="5">
        <v>4255.92</v>
      </c>
      <c r="H87" s="5">
        <v>7500.33</v>
      </c>
    </row>
    <row r="88" spans="1:8" x14ac:dyDescent="0.45">
      <c r="A88" s="4" t="s">
        <v>110</v>
      </c>
      <c r="B88" s="42" t="s">
        <v>104</v>
      </c>
      <c r="C88" s="40"/>
      <c r="D88" s="4" t="s">
        <v>44</v>
      </c>
      <c r="E88" s="4" t="s">
        <v>44</v>
      </c>
      <c r="F88" s="4" t="s">
        <v>44</v>
      </c>
      <c r="G88" s="4">
        <v>923.53</v>
      </c>
      <c r="H88" s="5">
        <v>1979.84</v>
      </c>
    </row>
    <row r="89" spans="1:8" x14ac:dyDescent="0.45">
      <c r="A89" s="12" t="s">
        <v>111</v>
      </c>
      <c r="B89" s="12"/>
      <c r="C89" s="12"/>
      <c r="D89" s="13">
        <v>60720.31</v>
      </c>
      <c r="E89" s="13">
        <v>68708.63</v>
      </c>
      <c r="F89" s="13">
        <v>76280.899999999994</v>
      </c>
      <c r="G89" s="13">
        <v>56208.19</v>
      </c>
      <c r="H89" s="13">
        <v>54463.99</v>
      </c>
    </row>
    <row r="90" spans="1:8" x14ac:dyDescent="0.45">
      <c r="A90" s="14" t="s">
        <v>112</v>
      </c>
      <c r="B90" s="14"/>
      <c r="C90" s="14"/>
      <c r="D90" s="15">
        <v>68628.160000000003</v>
      </c>
      <c r="E90" s="15">
        <v>75511.56</v>
      </c>
      <c r="F90" s="15">
        <v>82630.460000000006</v>
      </c>
      <c r="G90" s="15">
        <v>62165.22</v>
      </c>
      <c r="H90" s="15">
        <v>57953.59</v>
      </c>
    </row>
    <row r="91" spans="1:8" x14ac:dyDescent="0.45">
      <c r="A91" s="38" t="s">
        <v>113</v>
      </c>
      <c r="B91" s="39"/>
      <c r="C91" s="39"/>
      <c r="D91" s="39"/>
      <c r="E91" s="39"/>
      <c r="F91" s="39"/>
      <c r="G91" s="39"/>
      <c r="H91" s="40"/>
    </row>
    <row r="92" spans="1:8" x14ac:dyDescent="0.45">
      <c r="A92" s="4" t="s">
        <v>114</v>
      </c>
      <c r="B92" s="4" t="s">
        <v>115</v>
      </c>
      <c r="C92" s="4" t="s">
        <v>115</v>
      </c>
      <c r="D92" s="5">
        <v>2044.64</v>
      </c>
      <c r="E92" s="5">
        <v>2244.33</v>
      </c>
      <c r="F92" s="5">
        <v>2512.58</v>
      </c>
      <c r="G92" s="5">
        <v>2298.98</v>
      </c>
      <c r="H92" s="5">
        <v>1959.76</v>
      </c>
    </row>
    <row r="93" spans="1:8" x14ac:dyDescent="0.45">
      <c r="A93" s="4" t="s">
        <v>116</v>
      </c>
      <c r="B93" s="4" t="s">
        <v>115</v>
      </c>
      <c r="C93" s="4" t="s">
        <v>115</v>
      </c>
      <c r="D93" s="5">
        <v>2636.12</v>
      </c>
      <c r="E93" s="5">
        <v>2067.98</v>
      </c>
      <c r="F93" s="5">
        <v>2437.86</v>
      </c>
      <c r="G93" s="5">
        <v>2437.89</v>
      </c>
      <c r="H93" s="5">
        <v>2520.36</v>
      </c>
    </row>
    <row r="94" spans="1:8" x14ac:dyDescent="0.45">
      <c r="A94" s="4" t="s">
        <v>117</v>
      </c>
      <c r="B94" s="4" t="s">
        <v>115</v>
      </c>
      <c r="C94" s="4" t="s">
        <v>115</v>
      </c>
      <c r="D94" s="5">
        <v>2322.85</v>
      </c>
      <c r="E94" s="5">
        <v>2403.62</v>
      </c>
      <c r="F94" s="5">
        <v>2320.38</v>
      </c>
      <c r="G94" s="5">
        <v>2500.37</v>
      </c>
      <c r="H94" s="5">
        <v>2331.33</v>
      </c>
    </row>
    <row r="95" spans="1:8" x14ac:dyDescent="0.45">
      <c r="A95" s="4" t="s">
        <v>118</v>
      </c>
      <c r="B95" s="4" t="s">
        <v>115</v>
      </c>
      <c r="C95" s="4" t="s">
        <v>115</v>
      </c>
      <c r="D95" s="5">
        <v>2701.28</v>
      </c>
      <c r="E95" s="5">
        <v>2456.15</v>
      </c>
      <c r="F95" s="5">
        <v>2179.48</v>
      </c>
      <c r="G95" s="5">
        <v>2471.98</v>
      </c>
      <c r="H95" s="5">
        <v>2498.06</v>
      </c>
    </row>
    <row r="96" spans="1:8" x14ac:dyDescent="0.45">
      <c r="A96" s="4" t="s">
        <v>119</v>
      </c>
      <c r="B96" s="4" t="s">
        <v>115</v>
      </c>
      <c r="C96" s="4" t="s">
        <v>115</v>
      </c>
      <c r="D96" s="4">
        <v>193.13</v>
      </c>
      <c r="E96" s="4">
        <v>219.04</v>
      </c>
      <c r="F96" s="4">
        <v>45.77</v>
      </c>
      <c r="G96" s="4">
        <v>0</v>
      </c>
      <c r="H96" s="4">
        <v>0</v>
      </c>
    </row>
    <row r="97" spans="1:17" x14ac:dyDescent="0.45">
      <c r="A97" s="4" t="s">
        <v>120</v>
      </c>
      <c r="B97" s="4" t="s">
        <v>115</v>
      </c>
      <c r="C97" s="4" t="s">
        <v>115</v>
      </c>
      <c r="D97" s="4" t="s">
        <v>44</v>
      </c>
      <c r="E97" s="5">
        <v>1698.92</v>
      </c>
      <c r="F97" s="5">
        <v>6830.42</v>
      </c>
      <c r="G97" s="5">
        <v>7562.27</v>
      </c>
      <c r="H97" s="5">
        <v>5900.77</v>
      </c>
    </row>
    <row r="98" spans="1:17" x14ac:dyDescent="0.45">
      <c r="A98" s="4" t="s">
        <v>121</v>
      </c>
      <c r="B98" s="4" t="s">
        <v>115</v>
      </c>
      <c r="C98" s="4" t="s">
        <v>115</v>
      </c>
      <c r="D98" s="4" t="s">
        <v>44</v>
      </c>
      <c r="E98" s="4" t="s">
        <v>44</v>
      </c>
      <c r="F98" s="5">
        <v>1967.06</v>
      </c>
      <c r="G98" s="5">
        <v>6783.07</v>
      </c>
      <c r="H98" s="5">
        <v>7944.52</v>
      </c>
    </row>
    <row r="99" spans="1:17" x14ac:dyDescent="0.45">
      <c r="A99" s="43" t="s">
        <v>122</v>
      </c>
      <c r="B99" s="40"/>
      <c r="C99" s="6"/>
      <c r="D99" s="7">
        <v>9898.02</v>
      </c>
      <c r="E99" s="7">
        <v>11090.05</v>
      </c>
      <c r="F99" s="7">
        <v>18293.55</v>
      </c>
      <c r="G99" s="7">
        <v>24054.560000000001</v>
      </c>
      <c r="H99" s="7">
        <v>23154.81</v>
      </c>
    </row>
    <row r="100" spans="1:17" x14ac:dyDescent="0.45">
      <c r="A100" s="38" t="s">
        <v>123</v>
      </c>
      <c r="B100" s="39"/>
      <c r="C100" s="39"/>
      <c r="D100" s="39"/>
      <c r="E100" s="39"/>
      <c r="F100" s="39"/>
      <c r="G100" s="39"/>
      <c r="H100" s="40"/>
      <c r="Q100" t="s">
        <v>416</v>
      </c>
    </row>
    <row r="101" spans="1:17" x14ac:dyDescent="0.45">
      <c r="A101" s="4" t="s">
        <v>124</v>
      </c>
      <c r="B101" s="4"/>
      <c r="C101" s="4"/>
      <c r="D101" s="4">
        <v>513.74</v>
      </c>
      <c r="E101" s="4">
        <v>498.37</v>
      </c>
      <c r="F101" s="4">
        <v>514.36</v>
      </c>
      <c r="G101" s="4">
        <v>478.62</v>
      </c>
      <c r="H101" s="4">
        <v>377.58</v>
      </c>
      <c r="J101" t="s">
        <v>406</v>
      </c>
      <c r="K101" t="s">
        <v>421</v>
      </c>
      <c r="L101" t="s">
        <v>418</v>
      </c>
      <c r="M101" t="s">
        <v>409</v>
      </c>
      <c r="N101" t="s">
        <v>410</v>
      </c>
      <c r="O101">
        <v>0.46639864965263922</v>
      </c>
      <c r="P101" t="s">
        <v>411</v>
      </c>
      <c r="Q101">
        <f>H102/8760</f>
        <v>4.3102739726027392E-2</v>
      </c>
    </row>
    <row r="102" spans="1:17" x14ac:dyDescent="0.45">
      <c r="A102" s="6" t="s">
        <v>125</v>
      </c>
      <c r="B102" s="6"/>
      <c r="C102" s="6"/>
      <c r="D102" s="6">
        <v>513.74</v>
      </c>
      <c r="E102" s="6">
        <v>498.37</v>
      </c>
      <c r="F102" s="6">
        <v>514.36</v>
      </c>
      <c r="G102" s="6">
        <v>478.62</v>
      </c>
      <c r="H102" s="6">
        <v>377.58</v>
      </c>
      <c r="O102" s="34">
        <f>O101*8760</f>
        <v>4085.6521709571198</v>
      </c>
    </row>
    <row r="103" spans="1:17" x14ac:dyDescent="0.45">
      <c r="A103" s="38" t="s">
        <v>126</v>
      </c>
      <c r="B103" s="39"/>
      <c r="C103" s="39"/>
      <c r="D103" s="39"/>
      <c r="E103" s="39"/>
      <c r="F103" s="39"/>
      <c r="G103" s="39"/>
      <c r="H103" s="40"/>
    </row>
    <row r="104" spans="1:17" x14ac:dyDescent="0.45">
      <c r="A104" s="38" t="s">
        <v>127</v>
      </c>
      <c r="B104" s="39"/>
      <c r="C104" s="39"/>
      <c r="D104" s="39"/>
      <c r="E104" s="39"/>
      <c r="F104" s="39"/>
      <c r="G104" s="39"/>
      <c r="H104" s="40"/>
    </row>
    <row r="105" spans="1:17" x14ac:dyDescent="0.45">
      <c r="A105" s="4" t="s">
        <v>128</v>
      </c>
      <c r="B105" s="4" t="s">
        <v>129</v>
      </c>
      <c r="C105" s="4" t="s">
        <v>129</v>
      </c>
      <c r="D105" s="4">
        <v>143.55000000000001</v>
      </c>
      <c r="E105" s="4">
        <v>109.66</v>
      </c>
      <c r="F105" s="4">
        <v>128.63</v>
      </c>
      <c r="G105" s="4">
        <v>95.69</v>
      </c>
      <c r="H105" s="4">
        <v>115.96</v>
      </c>
      <c r="Q105" t="s">
        <v>416</v>
      </c>
    </row>
    <row r="106" spans="1:17" x14ac:dyDescent="0.45">
      <c r="A106" s="4" t="s">
        <v>130</v>
      </c>
      <c r="B106" s="4" t="s">
        <v>129</v>
      </c>
      <c r="C106" s="4" t="s">
        <v>129</v>
      </c>
      <c r="D106" s="4">
        <v>118.4</v>
      </c>
      <c r="E106" s="4">
        <v>90.9</v>
      </c>
      <c r="F106" s="4">
        <v>114.54</v>
      </c>
      <c r="G106" s="4">
        <v>76.55</v>
      </c>
      <c r="H106" s="4">
        <v>97.19</v>
      </c>
      <c r="J106" t="s">
        <v>406</v>
      </c>
      <c r="K106" t="s">
        <v>422</v>
      </c>
      <c r="L106" t="s">
        <v>423</v>
      </c>
      <c r="M106" t="s">
        <v>409</v>
      </c>
      <c r="N106" t="s">
        <v>410</v>
      </c>
      <c r="O106">
        <v>6.8493000000000004E-4</v>
      </c>
      <c r="P106" t="s">
        <v>411</v>
      </c>
      <c r="Q106">
        <f>O112-O108-O107-O106</f>
        <v>0.16407534561643836</v>
      </c>
    </row>
    <row r="107" spans="1:17" x14ac:dyDescent="0.45">
      <c r="A107" s="4" t="s">
        <v>131</v>
      </c>
      <c r="B107" s="4" t="s">
        <v>129</v>
      </c>
      <c r="C107" s="4" t="s">
        <v>129</v>
      </c>
      <c r="D107" s="4">
        <v>135.62</v>
      </c>
      <c r="E107" s="4">
        <v>99.14</v>
      </c>
      <c r="F107" s="4">
        <v>123.79</v>
      </c>
      <c r="G107" s="4">
        <v>88.43</v>
      </c>
      <c r="H107" s="4">
        <v>108.36</v>
      </c>
      <c r="J107" t="s">
        <v>406</v>
      </c>
      <c r="K107" t="s">
        <v>424</v>
      </c>
      <c r="L107" t="s">
        <v>423</v>
      </c>
      <c r="M107" t="s">
        <v>409</v>
      </c>
      <c r="N107" t="s">
        <v>410</v>
      </c>
      <c r="O107">
        <v>7.0293380000000003E-2</v>
      </c>
      <c r="P107" t="s">
        <v>411</v>
      </c>
    </row>
    <row r="108" spans="1:17" x14ac:dyDescent="0.45">
      <c r="A108" s="4" t="s">
        <v>132</v>
      </c>
      <c r="B108" s="4" t="s">
        <v>129</v>
      </c>
      <c r="C108" s="4" t="s">
        <v>129</v>
      </c>
      <c r="D108" s="4">
        <v>239.29</v>
      </c>
      <c r="E108" s="4">
        <v>123.24</v>
      </c>
      <c r="F108" s="4">
        <v>127.14</v>
      </c>
      <c r="G108" s="4">
        <v>88.92</v>
      </c>
      <c r="H108" s="4">
        <v>110.98</v>
      </c>
      <c r="J108" t="s">
        <v>406</v>
      </c>
      <c r="K108" t="s">
        <v>425</v>
      </c>
      <c r="L108" t="s">
        <v>423</v>
      </c>
      <c r="M108" t="s">
        <v>409</v>
      </c>
      <c r="N108" t="s">
        <v>410</v>
      </c>
      <c r="O108">
        <v>0.21484017999999999</v>
      </c>
      <c r="P108" t="s">
        <v>411</v>
      </c>
    </row>
    <row r="109" spans="1:17" x14ac:dyDescent="0.45">
      <c r="A109" s="4" t="s">
        <v>133</v>
      </c>
      <c r="B109" s="4" t="s">
        <v>129</v>
      </c>
      <c r="C109" s="4" t="s">
        <v>129</v>
      </c>
      <c r="D109" s="4"/>
      <c r="E109" s="4">
        <v>73.180000000000007</v>
      </c>
      <c r="F109" s="4">
        <v>141.83000000000001</v>
      </c>
      <c r="G109" s="4">
        <v>97.68</v>
      </c>
      <c r="H109" s="4">
        <v>122.97</v>
      </c>
      <c r="J109" t="s">
        <v>406</v>
      </c>
      <c r="K109" t="s">
        <v>426</v>
      </c>
      <c r="L109" t="s">
        <v>423</v>
      </c>
      <c r="M109" t="s">
        <v>409</v>
      </c>
      <c r="N109" t="s">
        <v>410</v>
      </c>
      <c r="O109">
        <v>0.23099732000000001</v>
      </c>
      <c r="P109" t="s">
        <v>411</v>
      </c>
    </row>
    <row r="110" spans="1:17" x14ac:dyDescent="0.45">
      <c r="A110" s="4" t="s">
        <v>134</v>
      </c>
      <c r="B110" s="4" t="s">
        <v>129</v>
      </c>
      <c r="C110" s="4" t="s">
        <v>129</v>
      </c>
      <c r="D110" s="4">
        <v>89.7</v>
      </c>
      <c r="E110" s="4">
        <v>104.01</v>
      </c>
      <c r="F110" s="4">
        <v>129.94</v>
      </c>
      <c r="G110" s="4">
        <v>81.42</v>
      </c>
      <c r="H110" s="4">
        <v>79.430000000000007</v>
      </c>
      <c r="O110">
        <f>SUM(O106:O109)</f>
        <v>0.51681580999999999</v>
      </c>
      <c r="P110" t="s">
        <v>411</v>
      </c>
    </row>
    <row r="111" spans="1:17" x14ac:dyDescent="0.45">
      <c r="A111" s="4" t="s">
        <v>135</v>
      </c>
      <c r="B111" s="4" t="s">
        <v>129</v>
      </c>
      <c r="C111" s="4" t="s">
        <v>129</v>
      </c>
      <c r="D111" s="4">
        <v>89.86</v>
      </c>
      <c r="E111" s="4">
        <v>108.84</v>
      </c>
      <c r="F111" s="4">
        <v>135.72999999999999</v>
      </c>
      <c r="G111" s="4">
        <v>89.81</v>
      </c>
      <c r="H111" s="4">
        <v>83.29</v>
      </c>
      <c r="O111">
        <f>O110*8760</f>
        <v>4527.3064955999998</v>
      </c>
      <c r="P111" t="s">
        <v>413</v>
      </c>
    </row>
    <row r="112" spans="1:17" x14ac:dyDescent="0.45">
      <c r="A112" s="4" t="s">
        <v>136</v>
      </c>
      <c r="B112" s="4" t="s">
        <v>129</v>
      </c>
      <c r="C112" s="4" t="s">
        <v>129</v>
      </c>
      <c r="D112" s="4">
        <v>153.06</v>
      </c>
      <c r="E112" s="4">
        <v>120.11</v>
      </c>
      <c r="F112" s="4">
        <v>147.63</v>
      </c>
      <c r="G112" s="4">
        <v>106.75</v>
      </c>
      <c r="H112" s="4">
        <v>125.17</v>
      </c>
      <c r="N112" t="s">
        <v>416</v>
      </c>
      <c r="O112">
        <f>H141/8760</f>
        <v>0.44989383561643836</v>
      </c>
    </row>
    <row r="113" spans="1:8" x14ac:dyDescent="0.45">
      <c r="A113" s="4" t="s">
        <v>137</v>
      </c>
      <c r="B113" s="4" t="s">
        <v>129</v>
      </c>
      <c r="C113" s="4" t="s">
        <v>129</v>
      </c>
      <c r="D113" s="4">
        <v>91.15</v>
      </c>
      <c r="E113" s="4">
        <v>110.38</v>
      </c>
      <c r="F113" s="4">
        <v>137.87</v>
      </c>
      <c r="G113" s="4">
        <v>87.18</v>
      </c>
      <c r="H113" s="4">
        <v>83.27</v>
      </c>
    </row>
    <row r="114" spans="1:8" x14ac:dyDescent="0.45">
      <c r="A114" s="4" t="s">
        <v>138</v>
      </c>
      <c r="B114" s="4" t="s">
        <v>129</v>
      </c>
      <c r="C114" s="4" t="s">
        <v>129</v>
      </c>
      <c r="D114" s="4">
        <v>96.9</v>
      </c>
      <c r="E114" s="4">
        <v>110.13</v>
      </c>
      <c r="F114" s="4">
        <v>137.63999999999999</v>
      </c>
      <c r="G114" s="4">
        <v>89.93</v>
      </c>
      <c r="H114" s="4">
        <v>85.08</v>
      </c>
    </row>
    <row r="115" spans="1:8" x14ac:dyDescent="0.45">
      <c r="A115" s="4" t="s">
        <v>139</v>
      </c>
      <c r="B115" s="4" t="s">
        <v>129</v>
      </c>
      <c r="C115" s="4" t="s">
        <v>129</v>
      </c>
      <c r="D115" s="4">
        <v>125.77</v>
      </c>
      <c r="E115" s="4">
        <v>104.07</v>
      </c>
      <c r="F115" s="4">
        <v>133.08000000000001</v>
      </c>
      <c r="G115" s="4">
        <v>76.23</v>
      </c>
      <c r="H115" s="4">
        <v>93.17</v>
      </c>
    </row>
    <row r="116" spans="1:8" x14ac:dyDescent="0.45">
      <c r="A116" s="4" t="s">
        <v>140</v>
      </c>
      <c r="B116" s="4" t="s">
        <v>129</v>
      </c>
      <c r="C116" s="4" t="s">
        <v>129</v>
      </c>
      <c r="D116" s="4">
        <v>121.06</v>
      </c>
      <c r="E116" s="4">
        <v>101.6</v>
      </c>
      <c r="F116" s="4">
        <v>132.44999999999999</v>
      </c>
      <c r="G116" s="4">
        <v>71.44</v>
      </c>
      <c r="H116" s="4">
        <v>89.41</v>
      </c>
    </row>
    <row r="117" spans="1:8" x14ac:dyDescent="0.45">
      <c r="A117" s="4" t="s">
        <v>141</v>
      </c>
      <c r="B117" s="4" t="s">
        <v>129</v>
      </c>
      <c r="C117" s="4" t="s">
        <v>129</v>
      </c>
      <c r="D117" s="4">
        <v>142.36000000000001</v>
      </c>
      <c r="E117" s="4">
        <v>107.79</v>
      </c>
      <c r="F117" s="4">
        <v>130.88</v>
      </c>
      <c r="G117" s="4">
        <v>95.7</v>
      </c>
      <c r="H117" s="4">
        <v>115.08</v>
      </c>
    </row>
    <row r="118" spans="1:8" x14ac:dyDescent="0.45">
      <c r="A118" s="4" t="s">
        <v>142</v>
      </c>
      <c r="B118" s="4" t="s">
        <v>129</v>
      </c>
      <c r="C118" s="4" t="s">
        <v>129</v>
      </c>
      <c r="D118" s="4">
        <v>179.13</v>
      </c>
      <c r="E118" s="4">
        <v>203.64</v>
      </c>
      <c r="F118" s="4">
        <v>254.06</v>
      </c>
      <c r="G118" s="4">
        <v>172.73</v>
      </c>
      <c r="H118" s="4">
        <v>169.57</v>
      </c>
    </row>
    <row r="119" spans="1:8" x14ac:dyDescent="0.45">
      <c r="A119" s="4" t="s">
        <v>143</v>
      </c>
      <c r="B119" s="4" t="s">
        <v>129</v>
      </c>
      <c r="C119" s="4" t="s">
        <v>129</v>
      </c>
      <c r="D119" s="4">
        <v>132.16</v>
      </c>
      <c r="E119" s="4">
        <v>166.05</v>
      </c>
      <c r="F119" s="4">
        <v>192.09</v>
      </c>
      <c r="G119" s="4">
        <v>127.06</v>
      </c>
      <c r="H119" s="4">
        <v>168.09</v>
      </c>
    </row>
    <row r="120" spans="1:8" x14ac:dyDescent="0.45">
      <c r="A120" s="4" t="s">
        <v>144</v>
      </c>
      <c r="B120" s="4" t="s">
        <v>129</v>
      </c>
      <c r="C120" s="4" t="s">
        <v>129</v>
      </c>
      <c r="D120" s="4">
        <v>64.760000000000005</v>
      </c>
      <c r="E120" s="4">
        <v>74.680000000000007</v>
      </c>
      <c r="F120" s="4">
        <v>88.39</v>
      </c>
      <c r="G120" s="4">
        <v>53.8</v>
      </c>
      <c r="H120" s="4">
        <v>72.55</v>
      </c>
    </row>
    <row r="121" spans="1:8" x14ac:dyDescent="0.45">
      <c r="A121" s="4" t="s">
        <v>145</v>
      </c>
      <c r="B121" s="4" t="s">
        <v>129</v>
      </c>
      <c r="C121" s="4" t="s">
        <v>129</v>
      </c>
      <c r="D121" s="4">
        <v>115.45</v>
      </c>
      <c r="E121" s="4">
        <v>140.96</v>
      </c>
      <c r="F121" s="4">
        <v>169.85</v>
      </c>
      <c r="G121" s="4">
        <v>117.07</v>
      </c>
      <c r="H121" s="4">
        <v>100.5</v>
      </c>
    </row>
    <row r="122" spans="1:8" x14ac:dyDescent="0.45">
      <c r="A122" s="4" t="s">
        <v>146</v>
      </c>
      <c r="B122" s="4" t="s">
        <v>129</v>
      </c>
      <c r="C122" s="4" t="s">
        <v>129</v>
      </c>
      <c r="D122" s="4">
        <v>119.18</v>
      </c>
      <c r="E122" s="4">
        <v>143.91</v>
      </c>
      <c r="F122" s="4">
        <v>166.01</v>
      </c>
      <c r="G122" s="4">
        <v>115.78</v>
      </c>
      <c r="H122" s="4">
        <v>102.25</v>
      </c>
    </row>
    <row r="123" spans="1:8" x14ac:dyDescent="0.45">
      <c r="A123" s="4" t="s">
        <v>147</v>
      </c>
      <c r="B123" s="4" t="s">
        <v>129</v>
      </c>
      <c r="C123" s="4" t="s">
        <v>129</v>
      </c>
      <c r="D123" s="4">
        <v>92.77</v>
      </c>
      <c r="E123" s="4">
        <v>108.43</v>
      </c>
      <c r="F123" s="4">
        <v>138.80000000000001</v>
      </c>
      <c r="G123" s="4">
        <v>93.9</v>
      </c>
      <c r="H123" s="4">
        <v>86.43</v>
      </c>
    </row>
    <row r="124" spans="1:8" x14ac:dyDescent="0.45">
      <c r="A124" s="4" t="s">
        <v>148</v>
      </c>
      <c r="B124" s="4" t="s">
        <v>129</v>
      </c>
      <c r="C124" s="4" t="s">
        <v>129</v>
      </c>
      <c r="D124" s="4">
        <v>95.18</v>
      </c>
      <c r="E124" s="4">
        <v>112.54</v>
      </c>
      <c r="F124" s="4">
        <v>142.76</v>
      </c>
      <c r="G124" s="4">
        <v>97.67</v>
      </c>
      <c r="H124" s="4">
        <v>88.43</v>
      </c>
    </row>
    <row r="125" spans="1:8" x14ac:dyDescent="0.45">
      <c r="A125" s="4" t="s">
        <v>149</v>
      </c>
      <c r="B125" s="4" t="s">
        <v>129</v>
      </c>
      <c r="C125" s="4" t="s">
        <v>129</v>
      </c>
      <c r="D125" s="4">
        <v>124.95</v>
      </c>
      <c r="E125" s="4">
        <v>149.9</v>
      </c>
      <c r="F125" s="4">
        <v>181.46</v>
      </c>
      <c r="G125" s="4">
        <v>125.44</v>
      </c>
      <c r="H125" s="4">
        <v>111.16</v>
      </c>
    </row>
    <row r="126" spans="1:8" x14ac:dyDescent="0.45">
      <c r="A126" s="4" t="s">
        <v>150</v>
      </c>
      <c r="B126" s="4" t="s">
        <v>129</v>
      </c>
      <c r="C126" s="4" t="s">
        <v>129</v>
      </c>
      <c r="D126" s="4">
        <v>117.64</v>
      </c>
      <c r="E126" s="4">
        <v>144.15</v>
      </c>
      <c r="F126" s="4">
        <v>177.71</v>
      </c>
      <c r="G126" s="4">
        <v>121.04</v>
      </c>
      <c r="H126" s="4">
        <v>108.15</v>
      </c>
    </row>
    <row r="127" spans="1:8" x14ac:dyDescent="0.45">
      <c r="A127" s="4" t="s">
        <v>151</v>
      </c>
      <c r="B127" s="4" t="s">
        <v>129</v>
      </c>
      <c r="C127" s="4" t="s">
        <v>129</v>
      </c>
      <c r="D127" s="4">
        <v>117.47</v>
      </c>
      <c r="E127" s="4">
        <v>143.56</v>
      </c>
      <c r="F127" s="4">
        <v>178.69</v>
      </c>
      <c r="G127" s="4">
        <v>121.42</v>
      </c>
      <c r="H127" s="4">
        <v>107.63</v>
      </c>
    </row>
    <row r="128" spans="1:8" x14ac:dyDescent="0.45">
      <c r="A128" s="4" t="s">
        <v>152</v>
      </c>
      <c r="B128" s="4" t="s">
        <v>129</v>
      </c>
      <c r="C128" s="4" t="s">
        <v>129</v>
      </c>
      <c r="D128" s="4">
        <v>177.05</v>
      </c>
      <c r="E128" s="4">
        <v>149.07</v>
      </c>
      <c r="F128" s="4">
        <v>189.43</v>
      </c>
      <c r="G128" s="4">
        <v>110.75</v>
      </c>
      <c r="H128" s="4">
        <v>121.77</v>
      </c>
    </row>
    <row r="129" spans="1:8" x14ac:dyDescent="0.45">
      <c r="A129" s="4" t="s">
        <v>153</v>
      </c>
      <c r="B129" s="4" t="s">
        <v>129</v>
      </c>
      <c r="C129" s="4" t="s">
        <v>129</v>
      </c>
      <c r="D129" s="4" t="s">
        <v>44</v>
      </c>
      <c r="E129" s="4" t="s">
        <v>44</v>
      </c>
      <c r="F129" s="4">
        <v>127.5</v>
      </c>
      <c r="G129" s="4">
        <v>140.29</v>
      </c>
      <c r="H129" s="4">
        <v>110.69</v>
      </c>
    </row>
    <row r="130" spans="1:8" x14ac:dyDescent="0.45">
      <c r="A130" s="4" t="s">
        <v>154</v>
      </c>
      <c r="B130" s="4" t="s">
        <v>129</v>
      </c>
      <c r="C130" s="4" t="s">
        <v>129</v>
      </c>
      <c r="D130" s="4" t="s">
        <v>44</v>
      </c>
      <c r="E130" s="4" t="s">
        <v>44</v>
      </c>
      <c r="F130" s="4">
        <v>145.41</v>
      </c>
      <c r="G130" s="4">
        <v>132.31</v>
      </c>
      <c r="H130" s="4">
        <v>103.97</v>
      </c>
    </row>
    <row r="131" spans="1:8" x14ac:dyDescent="0.45">
      <c r="A131" s="4" t="s">
        <v>155</v>
      </c>
      <c r="B131" s="4" t="s">
        <v>129</v>
      </c>
      <c r="C131" s="4" t="s">
        <v>129</v>
      </c>
      <c r="D131" s="4" t="s">
        <v>44</v>
      </c>
      <c r="E131" s="4" t="s">
        <v>44</v>
      </c>
      <c r="F131" s="4">
        <v>86.89</v>
      </c>
      <c r="G131" s="4">
        <v>138.66999999999999</v>
      </c>
      <c r="H131" s="4">
        <v>115.2</v>
      </c>
    </row>
    <row r="132" spans="1:8" x14ac:dyDescent="0.45">
      <c r="A132" s="4" t="s">
        <v>156</v>
      </c>
      <c r="B132" s="4" t="s">
        <v>129</v>
      </c>
      <c r="C132" s="4" t="s">
        <v>129</v>
      </c>
      <c r="D132" s="4" t="s">
        <v>44</v>
      </c>
      <c r="E132" s="4" t="s">
        <v>44</v>
      </c>
      <c r="F132" s="4">
        <v>83.61</v>
      </c>
      <c r="G132" s="4">
        <v>132.44999999999999</v>
      </c>
      <c r="H132" s="4">
        <v>110.97</v>
      </c>
    </row>
    <row r="133" spans="1:8" x14ac:dyDescent="0.45">
      <c r="A133" s="4" t="s">
        <v>157</v>
      </c>
      <c r="B133" s="4" t="s">
        <v>129</v>
      </c>
      <c r="C133" s="4" t="s">
        <v>129</v>
      </c>
      <c r="D133" s="4" t="s">
        <v>44</v>
      </c>
      <c r="E133" s="4" t="s">
        <v>44</v>
      </c>
      <c r="F133" s="4">
        <v>86.32</v>
      </c>
      <c r="G133" s="4">
        <v>137.66</v>
      </c>
      <c r="H133" s="4">
        <v>117.74</v>
      </c>
    </row>
    <row r="134" spans="1:8" x14ac:dyDescent="0.45">
      <c r="A134" s="4" t="s">
        <v>158</v>
      </c>
      <c r="B134" s="4" t="s">
        <v>129</v>
      </c>
      <c r="C134" s="4" t="s">
        <v>129</v>
      </c>
      <c r="D134" s="4" t="s">
        <v>44</v>
      </c>
      <c r="E134" s="4" t="s">
        <v>44</v>
      </c>
      <c r="F134" s="4">
        <v>73.55</v>
      </c>
      <c r="G134" s="4">
        <v>139.46</v>
      </c>
      <c r="H134" s="4">
        <v>114.95</v>
      </c>
    </row>
    <row r="135" spans="1:8" x14ac:dyDescent="0.45">
      <c r="A135" s="4" t="s">
        <v>159</v>
      </c>
      <c r="B135" s="4" t="s">
        <v>129</v>
      </c>
      <c r="C135" s="4" t="s">
        <v>129</v>
      </c>
      <c r="D135" s="4" t="s">
        <v>44</v>
      </c>
      <c r="E135" s="4" t="s">
        <v>44</v>
      </c>
      <c r="F135" s="4">
        <v>69.849999999999994</v>
      </c>
      <c r="G135" s="4">
        <v>123.89</v>
      </c>
      <c r="H135" s="4">
        <v>109.25</v>
      </c>
    </row>
    <row r="136" spans="1:8" x14ac:dyDescent="0.45">
      <c r="A136" s="4" t="s">
        <v>160</v>
      </c>
      <c r="B136" s="4" t="s">
        <v>129</v>
      </c>
      <c r="C136" s="4" t="s">
        <v>129</v>
      </c>
      <c r="D136" s="4" t="s">
        <v>44</v>
      </c>
      <c r="E136" s="4" t="s">
        <v>44</v>
      </c>
      <c r="F136" s="4">
        <v>72.89</v>
      </c>
      <c r="G136" s="4">
        <v>131.07</v>
      </c>
      <c r="H136" s="4">
        <v>108.96</v>
      </c>
    </row>
    <row r="137" spans="1:8" x14ac:dyDescent="0.45">
      <c r="A137" s="4" t="s">
        <v>161</v>
      </c>
      <c r="B137" s="4" t="s">
        <v>129</v>
      </c>
      <c r="C137" s="4" t="s">
        <v>129</v>
      </c>
      <c r="D137" s="4" t="s">
        <v>44</v>
      </c>
      <c r="E137" s="4" t="s">
        <v>44</v>
      </c>
      <c r="F137" s="4">
        <v>84.43</v>
      </c>
      <c r="G137" s="4">
        <v>143.93</v>
      </c>
      <c r="H137" s="4">
        <v>118.72</v>
      </c>
    </row>
    <row r="138" spans="1:8" x14ac:dyDescent="0.45">
      <c r="A138" s="4" t="s">
        <v>162</v>
      </c>
      <c r="B138" s="4" t="s">
        <v>129</v>
      </c>
      <c r="C138" s="4" t="s">
        <v>129</v>
      </c>
      <c r="D138" s="4" t="s">
        <v>44</v>
      </c>
      <c r="E138" s="4" t="s">
        <v>44</v>
      </c>
      <c r="F138" s="4">
        <v>42.92</v>
      </c>
      <c r="G138" s="4">
        <v>125.06</v>
      </c>
      <c r="H138" s="4">
        <v>110.9</v>
      </c>
    </row>
    <row r="139" spans="1:8" x14ac:dyDescent="0.45">
      <c r="A139" s="4" t="s">
        <v>163</v>
      </c>
      <c r="B139" s="4" t="s">
        <v>129</v>
      </c>
      <c r="C139" s="4" t="s">
        <v>129</v>
      </c>
      <c r="D139" s="4" t="s">
        <v>44</v>
      </c>
      <c r="E139" s="4" t="s">
        <v>44</v>
      </c>
      <c r="F139" s="4">
        <v>62.56</v>
      </c>
      <c r="G139" s="4">
        <v>143.1</v>
      </c>
      <c r="H139" s="4">
        <v>115.86</v>
      </c>
    </row>
    <row r="140" spans="1:8" x14ac:dyDescent="0.45">
      <c r="A140" s="4" t="s">
        <v>164</v>
      </c>
      <c r="B140" s="4" t="s">
        <v>129</v>
      </c>
      <c r="C140" s="4" t="s">
        <v>129</v>
      </c>
      <c r="D140" s="4" t="s">
        <v>44</v>
      </c>
      <c r="E140" s="4" t="s">
        <v>44</v>
      </c>
      <c r="F140" s="4">
        <v>47.84</v>
      </c>
      <c r="G140" s="4">
        <v>195.76</v>
      </c>
      <c r="H140" s="4">
        <v>157.97</v>
      </c>
    </row>
    <row r="141" spans="1:8" x14ac:dyDescent="0.45">
      <c r="A141" s="16" t="s">
        <v>165</v>
      </c>
      <c r="B141" s="16"/>
      <c r="C141" s="16"/>
      <c r="D141" s="17">
        <v>2882.48</v>
      </c>
      <c r="E141" s="17">
        <v>2899.94</v>
      </c>
      <c r="F141" s="17">
        <v>4584.17</v>
      </c>
      <c r="G141" s="17">
        <v>4086.05</v>
      </c>
      <c r="H141" s="17">
        <v>3941.07</v>
      </c>
    </row>
    <row r="142" spans="1:8" x14ac:dyDescent="0.45">
      <c r="A142" s="38" t="s">
        <v>166</v>
      </c>
      <c r="B142" s="39"/>
      <c r="C142" s="39"/>
      <c r="D142" s="39"/>
      <c r="E142" s="39"/>
      <c r="F142" s="39"/>
      <c r="G142" s="39"/>
      <c r="H142" s="40"/>
    </row>
    <row r="143" spans="1:8" x14ac:dyDescent="0.45">
      <c r="A143" s="4" t="s">
        <v>167</v>
      </c>
      <c r="B143" s="4" t="s">
        <v>168</v>
      </c>
      <c r="C143" s="4" t="s">
        <v>168</v>
      </c>
      <c r="D143" s="4">
        <v>164.99</v>
      </c>
      <c r="E143" s="4">
        <v>165.56</v>
      </c>
      <c r="F143" s="4">
        <v>164.69</v>
      </c>
      <c r="G143" s="4">
        <v>160.47</v>
      </c>
      <c r="H143" s="4">
        <v>155.11000000000001</v>
      </c>
    </row>
    <row r="144" spans="1:8" x14ac:dyDescent="0.45">
      <c r="A144" s="4" t="s">
        <v>169</v>
      </c>
      <c r="B144" s="4" t="s">
        <v>168</v>
      </c>
      <c r="C144" s="4" t="s">
        <v>168</v>
      </c>
      <c r="D144" s="4">
        <v>163.02000000000001</v>
      </c>
      <c r="E144" s="4">
        <v>164.9</v>
      </c>
      <c r="F144" s="4">
        <v>168.68</v>
      </c>
      <c r="G144" s="4">
        <v>165.83</v>
      </c>
      <c r="H144" s="4">
        <v>162</v>
      </c>
    </row>
    <row r="145" spans="1:8" x14ac:dyDescent="0.45">
      <c r="A145" s="4" t="s">
        <v>170</v>
      </c>
      <c r="B145" s="4" t="s">
        <v>168</v>
      </c>
      <c r="C145" s="4" t="s">
        <v>168</v>
      </c>
      <c r="D145" s="4">
        <v>162.91999999999999</v>
      </c>
      <c r="E145" s="4">
        <v>164.25</v>
      </c>
      <c r="F145" s="4">
        <v>167.34</v>
      </c>
      <c r="G145" s="4">
        <v>166.17</v>
      </c>
      <c r="H145" s="4">
        <v>158.94999999999999</v>
      </c>
    </row>
    <row r="146" spans="1:8" x14ac:dyDescent="0.45">
      <c r="A146" s="4" t="s">
        <v>171</v>
      </c>
      <c r="B146" s="4" t="s">
        <v>168</v>
      </c>
      <c r="C146" s="4" t="s">
        <v>168</v>
      </c>
      <c r="D146" s="4">
        <v>165.31</v>
      </c>
      <c r="E146" s="4">
        <v>166.97</v>
      </c>
      <c r="F146" s="4">
        <v>169.18</v>
      </c>
      <c r="G146" s="4">
        <v>169.83</v>
      </c>
      <c r="H146" s="4">
        <v>163.24</v>
      </c>
    </row>
    <row r="147" spans="1:8" x14ac:dyDescent="0.45">
      <c r="A147" s="4" t="s">
        <v>172</v>
      </c>
      <c r="B147" s="4" t="s">
        <v>168</v>
      </c>
      <c r="C147" s="4" t="s">
        <v>168</v>
      </c>
      <c r="D147" s="4">
        <v>18.03</v>
      </c>
      <c r="E147" s="4">
        <v>18.5</v>
      </c>
      <c r="F147" s="4">
        <v>65.37</v>
      </c>
      <c r="G147" s="4">
        <v>18.350000000000001</v>
      </c>
      <c r="H147" s="4">
        <v>17.59</v>
      </c>
    </row>
    <row r="148" spans="1:8" x14ac:dyDescent="0.45">
      <c r="A148" s="4" t="s">
        <v>173</v>
      </c>
      <c r="B148" s="4" t="s">
        <v>168</v>
      </c>
      <c r="C148" s="4" t="s">
        <v>168</v>
      </c>
      <c r="D148" s="4">
        <v>30.69</v>
      </c>
      <c r="E148" s="4">
        <v>31.45</v>
      </c>
      <c r="F148" s="4">
        <v>18.78</v>
      </c>
      <c r="G148" s="4">
        <v>31.07</v>
      </c>
      <c r="H148" s="4">
        <v>30.28</v>
      </c>
    </row>
    <row r="149" spans="1:8" x14ac:dyDescent="0.45">
      <c r="A149" s="4" t="s">
        <v>174</v>
      </c>
      <c r="B149" s="4" t="s">
        <v>168</v>
      </c>
      <c r="C149" s="4" t="s">
        <v>168</v>
      </c>
      <c r="D149" s="4" t="s">
        <v>44</v>
      </c>
      <c r="E149" s="4" t="s">
        <v>44</v>
      </c>
      <c r="F149" s="4">
        <v>31.37</v>
      </c>
      <c r="G149" s="4">
        <v>197.12</v>
      </c>
      <c r="H149" s="4">
        <v>191.87</v>
      </c>
    </row>
    <row r="150" spans="1:8" x14ac:dyDescent="0.45">
      <c r="A150" s="4" t="s">
        <v>175</v>
      </c>
      <c r="B150" s="4" t="s">
        <v>168</v>
      </c>
      <c r="C150" s="4" t="s">
        <v>168</v>
      </c>
      <c r="D150" s="4" t="s">
        <v>44</v>
      </c>
      <c r="E150" s="4" t="s">
        <v>44</v>
      </c>
      <c r="F150" s="4" t="s">
        <v>44</v>
      </c>
      <c r="G150" s="4" t="s">
        <v>44</v>
      </c>
      <c r="H150" s="4">
        <v>49.48</v>
      </c>
    </row>
    <row r="151" spans="1:8" x14ac:dyDescent="0.45">
      <c r="A151" s="4" t="s">
        <v>176</v>
      </c>
      <c r="B151" s="4" t="s">
        <v>168</v>
      </c>
      <c r="C151" s="4" t="s">
        <v>168</v>
      </c>
      <c r="D151" s="4" t="s">
        <v>44</v>
      </c>
      <c r="E151" s="4" t="s">
        <v>44</v>
      </c>
      <c r="F151" s="4" t="s">
        <v>44</v>
      </c>
      <c r="G151" s="4" t="s">
        <v>44</v>
      </c>
      <c r="H151" s="4">
        <v>50.76</v>
      </c>
    </row>
    <row r="152" spans="1:8" x14ac:dyDescent="0.45">
      <c r="A152" s="4" t="s">
        <v>177</v>
      </c>
      <c r="B152" s="4" t="s">
        <v>168</v>
      </c>
      <c r="C152" s="4" t="s">
        <v>168</v>
      </c>
      <c r="D152" s="4" t="s">
        <v>44</v>
      </c>
      <c r="E152" s="4" t="s">
        <v>44</v>
      </c>
      <c r="F152" s="4" t="s">
        <v>44</v>
      </c>
      <c r="G152" s="4" t="s">
        <v>44</v>
      </c>
      <c r="H152" s="4">
        <v>49.62</v>
      </c>
    </row>
    <row r="153" spans="1:8" x14ac:dyDescent="0.45">
      <c r="A153" s="4" t="s">
        <v>178</v>
      </c>
      <c r="B153" s="4" t="s">
        <v>168</v>
      </c>
      <c r="C153" s="4" t="s">
        <v>168</v>
      </c>
      <c r="D153" s="4" t="s">
        <v>44</v>
      </c>
      <c r="E153" s="4" t="s">
        <v>44</v>
      </c>
      <c r="F153" s="4" t="s">
        <v>44</v>
      </c>
      <c r="G153" s="4">
        <v>183.04</v>
      </c>
      <c r="H153" s="4">
        <v>438.46</v>
      </c>
    </row>
    <row r="154" spans="1:8" x14ac:dyDescent="0.45">
      <c r="A154" s="16" t="s">
        <v>179</v>
      </c>
      <c r="B154" s="16"/>
      <c r="C154" s="16"/>
      <c r="D154" s="16">
        <v>704.97</v>
      </c>
      <c r="E154" s="16">
        <v>711.63</v>
      </c>
      <c r="F154" s="16">
        <v>785.41</v>
      </c>
      <c r="G154" s="17">
        <v>1091.8699999999999</v>
      </c>
      <c r="H154" s="17">
        <v>1467.36</v>
      </c>
    </row>
    <row r="155" spans="1:8" x14ac:dyDescent="0.45">
      <c r="A155" s="41" t="s">
        <v>180</v>
      </c>
      <c r="B155" s="39"/>
      <c r="C155" s="39"/>
      <c r="D155" s="39"/>
      <c r="E155" s="39"/>
      <c r="F155" s="39"/>
      <c r="G155" s="39"/>
      <c r="H155" s="40"/>
    </row>
    <row r="156" spans="1:8" x14ac:dyDescent="0.45">
      <c r="A156" s="4" t="s">
        <v>181</v>
      </c>
      <c r="B156" s="42" t="s">
        <v>182</v>
      </c>
      <c r="C156" s="40"/>
      <c r="D156" s="4">
        <v>161.88</v>
      </c>
      <c r="E156" s="4">
        <v>177.17</v>
      </c>
      <c r="F156" s="4">
        <v>169.48</v>
      </c>
      <c r="G156" s="4">
        <v>190.76</v>
      </c>
      <c r="H156" s="4">
        <v>168.3</v>
      </c>
    </row>
    <row r="157" spans="1:8" x14ac:dyDescent="0.45">
      <c r="A157" s="4" t="s">
        <v>183</v>
      </c>
      <c r="B157" s="42" t="s">
        <v>182</v>
      </c>
      <c r="C157" s="40"/>
      <c r="D157" s="4">
        <v>129.21</v>
      </c>
      <c r="E157" s="4">
        <v>144.44</v>
      </c>
      <c r="F157" s="4">
        <v>136.74</v>
      </c>
      <c r="G157" s="4">
        <v>186.04</v>
      </c>
      <c r="H157" s="4">
        <v>180.44</v>
      </c>
    </row>
    <row r="158" spans="1:8" x14ac:dyDescent="0.45">
      <c r="A158" s="4" t="s">
        <v>184</v>
      </c>
      <c r="B158" s="4" t="s">
        <v>185</v>
      </c>
      <c r="C158" s="4" t="s">
        <v>185</v>
      </c>
      <c r="D158" s="4">
        <v>73.67</v>
      </c>
      <c r="E158" s="4">
        <v>73.94</v>
      </c>
      <c r="F158" s="4">
        <v>97.27</v>
      </c>
      <c r="G158" s="4">
        <v>100.99</v>
      </c>
      <c r="H158" s="4">
        <v>76.27</v>
      </c>
    </row>
    <row r="159" spans="1:8" x14ac:dyDescent="0.45">
      <c r="A159" s="4" t="s">
        <v>186</v>
      </c>
      <c r="B159" s="4" t="s">
        <v>185</v>
      </c>
      <c r="C159" s="4" t="s">
        <v>185</v>
      </c>
      <c r="D159" s="4">
        <v>80.45</v>
      </c>
      <c r="E159" s="4">
        <v>160.56</v>
      </c>
      <c r="F159" s="4">
        <v>222.54</v>
      </c>
      <c r="G159" s="4">
        <v>186.81</v>
      </c>
      <c r="H159" s="4">
        <v>140.91</v>
      </c>
    </row>
    <row r="160" spans="1:8" x14ac:dyDescent="0.45">
      <c r="A160" s="4" t="s">
        <v>187</v>
      </c>
      <c r="B160" s="42" t="s">
        <v>182</v>
      </c>
      <c r="C160" s="40"/>
      <c r="D160" s="4">
        <v>45.03</v>
      </c>
      <c r="E160" s="4">
        <v>39.99</v>
      </c>
      <c r="F160" s="4">
        <v>61.06</v>
      </c>
      <c r="G160" s="4">
        <v>53.48</v>
      </c>
      <c r="H160" s="4">
        <v>59.19</v>
      </c>
    </row>
    <row r="161" spans="1:8" x14ac:dyDescent="0.45">
      <c r="A161" s="4" t="s">
        <v>188</v>
      </c>
      <c r="B161" s="4" t="s">
        <v>189</v>
      </c>
      <c r="C161" s="4" t="s">
        <v>190</v>
      </c>
      <c r="D161" s="4">
        <v>36.79</v>
      </c>
      <c r="E161" s="4">
        <v>46.37</v>
      </c>
      <c r="F161" s="4">
        <v>73.67</v>
      </c>
      <c r="G161" s="4">
        <v>61.22</v>
      </c>
      <c r="H161" s="4">
        <v>56.27</v>
      </c>
    </row>
    <row r="162" spans="1:8" x14ac:dyDescent="0.45">
      <c r="A162" s="4" t="s">
        <v>191</v>
      </c>
      <c r="B162" s="4" t="s">
        <v>185</v>
      </c>
      <c r="C162" s="4" t="s">
        <v>185</v>
      </c>
      <c r="D162" s="4">
        <v>15.1</v>
      </c>
      <c r="E162" s="4">
        <v>29.83</v>
      </c>
      <c r="F162" s="4">
        <v>17.38</v>
      </c>
      <c r="G162" s="4">
        <v>25.02</v>
      </c>
      <c r="H162" s="4">
        <v>29.1</v>
      </c>
    </row>
    <row r="163" spans="1:8" x14ac:dyDescent="0.45">
      <c r="A163" s="4" t="s">
        <v>192</v>
      </c>
      <c r="B163" s="4" t="s">
        <v>185</v>
      </c>
      <c r="C163" s="4" t="s">
        <v>185</v>
      </c>
      <c r="D163" s="4">
        <v>22.34</v>
      </c>
      <c r="E163" s="4">
        <v>38.26</v>
      </c>
      <c r="F163" s="4">
        <v>47.92</v>
      </c>
      <c r="G163" s="4">
        <v>41.05</v>
      </c>
      <c r="H163" s="4">
        <v>16.37</v>
      </c>
    </row>
    <row r="164" spans="1:8" x14ac:dyDescent="0.45">
      <c r="A164" s="16" t="s">
        <v>193</v>
      </c>
      <c r="B164" s="16"/>
      <c r="C164" s="16"/>
      <c r="D164" s="16">
        <v>564.46</v>
      </c>
      <c r="E164" s="16">
        <v>710.56</v>
      </c>
      <c r="F164" s="16">
        <v>826.06</v>
      </c>
      <c r="G164" s="16">
        <v>845.36</v>
      </c>
      <c r="H164" s="16">
        <v>726.85</v>
      </c>
    </row>
    <row r="165" spans="1:8" x14ac:dyDescent="0.45">
      <c r="A165" s="16" t="s">
        <v>194</v>
      </c>
      <c r="B165" s="10"/>
      <c r="C165" s="10"/>
      <c r="D165" s="11">
        <v>4151.91</v>
      </c>
      <c r="E165" s="11">
        <v>4322.13</v>
      </c>
      <c r="F165" s="11">
        <v>6195.64</v>
      </c>
      <c r="G165" s="11">
        <v>6023.28</v>
      </c>
      <c r="H165" s="11">
        <v>6135.28</v>
      </c>
    </row>
    <row r="166" spans="1:8" x14ac:dyDescent="0.45">
      <c r="A166" s="38" t="s">
        <v>195</v>
      </c>
      <c r="B166" s="39"/>
      <c r="C166" s="39"/>
      <c r="D166" s="39"/>
      <c r="E166" s="39"/>
      <c r="F166" s="39"/>
      <c r="G166" s="39"/>
      <c r="H166" s="40"/>
    </row>
    <row r="167" spans="1:8" x14ac:dyDescent="0.45">
      <c r="A167" s="4" t="s">
        <v>196</v>
      </c>
      <c r="B167" s="4" t="s">
        <v>197</v>
      </c>
      <c r="C167" s="4" t="s">
        <v>198</v>
      </c>
      <c r="D167" s="5">
        <v>3824.66</v>
      </c>
      <c r="E167" s="5">
        <v>4730</v>
      </c>
      <c r="F167" s="5">
        <v>3289.1</v>
      </c>
      <c r="G167" s="5">
        <v>1851.7</v>
      </c>
      <c r="H167" s="4">
        <v>622.22</v>
      </c>
    </row>
    <row r="168" spans="1:8" x14ac:dyDescent="0.45">
      <c r="A168" s="4" t="s">
        <v>199</v>
      </c>
      <c r="B168" s="4" t="s">
        <v>197</v>
      </c>
      <c r="C168" s="4" t="s">
        <v>198</v>
      </c>
      <c r="D168" s="5">
        <v>4030.54</v>
      </c>
      <c r="E168" s="5">
        <v>3926</v>
      </c>
      <c r="F168" s="5">
        <v>3587.52</v>
      </c>
      <c r="G168" s="5">
        <v>2634.48</v>
      </c>
      <c r="H168" s="5">
        <v>2557.08</v>
      </c>
    </row>
    <row r="169" spans="1:8" x14ac:dyDescent="0.45">
      <c r="A169" s="4" t="s">
        <v>200</v>
      </c>
      <c r="B169" s="4" t="s">
        <v>94</v>
      </c>
      <c r="C169" s="4" t="s">
        <v>94</v>
      </c>
      <c r="D169" s="4" t="s">
        <v>44</v>
      </c>
      <c r="E169" s="4" t="s">
        <v>44</v>
      </c>
      <c r="F169" s="4">
        <v>243.5</v>
      </c>
      <c r="G169" s="5">
        <v>2522.58</v>
      </c>
      <c r="H169" s="5">
        <v>4178.13</v>
      </c>
    </row>
    <row r="170" spans="1:8" x14ac:dyDescent="0.45">
      <c r="A170" s="4" t="s">
        <v>201</v>
      </c>
      <c r="B170" s="4" t="s">
        <v>57</v>
      </c>
      <c r="C170" s="4" t="s">
        <v>94</v>
      </c>
      <c r="D170" s="4">
        <v>299.73</v>
      </c>
      <c r="E170" s="4">
        <v>365.23</v>
      </c>
      <c r="F170" s="4">
        <v>114.52</v>
      </c>
      <c r="G170" s="4">
        <v>10.18</v>
      </c>
      <c r="H170" s="4">
        <v>1.59</v>
      </c>
    </row>
    <row r="171" spans="1:8" x14ac:dyDescent="0.45">
      <c r="A171" s="4" t="s">
        <v>202</v>
      </c>
      <c r="B171" s="4" t="s">
        <v>57</v>
      </c>
      <c r="C171" s="4" t="s">
        <v>94</v>
      </c>
      <c r="D171" s="4">
        <v>397.23</v>
      </c>
      <c r="E171" s="4">
        <v>215.67</v>
      </c>
      <c r="F171" s="4">
        <v>102.86</v>
      </c>
      <c r="G171" s="4">
        <v>24.41</v>
      </c>
      <c r="H171" s="4">
        <v>0.17</v>
      </c>
    </row>
    <row r="172" spans="1:8" x14ac:dyDescent="0.45">
      <c r="A172" s="4" t="s">
        <v>203</v>
      </c>
      <c r="B172" s="4" t="s">
        <v>57</v>
      </c>
      <c r="C172" s="4" t="s">
        <v>94</v>
      </c>
      <c r="D172" s="5">
        <v>1076.74</v>
      </c>
      <c r="E172" s="4">
        <v>948.7</v>
      </c>
      <c r="F172" s="4">
        <v>552.46</v>
      </c>
      <c r="G172" s="4">
        <v>49.74</v>
      </c>
      <c r="H172" s="4">
        <v>112.13</v>
      </c>
    </row>
    <row r="173" spans="1:8" x14ac:dyDescent="0.45">
      <c r="A173" s="16" t="s">
        <v>204</v>
      </c>
      <c r="B173" s="16"/>
      <c r="C173" s="16"/>
      <c r="D173" s="17">
        <v>9628.9</v>
      </c>
      <c r="E173" s="17">
        <v>10185.6</v>
      </c>
      <c r="F173" s="17">
        <v>7889.96</v>
      </c>
      <c r="G173" s="17">
        <v>7093.09</v>
      </c>
      <c r="H173" s="17">
        <v>7471.32</v>
      </c>
    </row>
    <row r="174" spans="1:8" x14ac:dyDescent="0.45">
      <c r="A174" s="38" t="s">
        <v>205</v>
      </c>
      <c r="B174" s="39"/>
      <c r="C174" s="39"/>
      <c r="D174" s="39"/>
      <c r="E174" s="39"/>
      <c r="F174" s="39"/>
      <c r="G174" s="39"/>
      <c r="H174" s="40"/>
    </row>
    <row r="175" spans="1:8" x14ac:dyDescent="0.45">
      <c r="A175" s="4" t="s">
        <v>206</v>
      </c>
      <c r="B175" s="4" t="s">
        <v>52</v>
      </c>
      <c r="C175" s="4"/>
      <c r="D175" s="4">
        <v>496.14</v>
      </c>
      <c r="E175" s="4">
        <v>673</v>
      </c>
      <c r="F175" s="4">
        <v>705.43</v>
      </c>
      <c r="G175" s="4">
        <v>508.68</v>
      </c>
      <c r="H175" s="4">
        <v>268.58999999999997</v>
      </c>
    </row>
    <row r="176" spans="1:8" x14ac:dyDescent="0.45">
      <c r="A176" s="4" t="s">
        <v>207</v>
      </c>
      <c r="B176" s="4" t="s">
        <v>52</v>
      </c>
      <c r="C176" s="4"/>
      <c r="D176" s="4">
        <v>627.77</v>
      </c>
      <c r="E176" s="4">
        <v>737</v>
      </c>
      <c r="F176" s="4">
        <v>715.86</v>
      </c>
      <c r="G176" s="4">
        <v>518.42999999999995</v>
      </c>
      <c r="H176" s="4">
        <v>288.33</v>
      </c>
    </row>
    <row r="177" spans="1:12" x14ac:dyDescent="0.45">
      <c r="A177" s="4" t="s">
        <v>208</v>
      </c>
      <c r="B177" s="4" t="s">
        <v>54</v>
      </c>
      <c r="C177" s="4"/>
      <c r="D177" s="4">
        <v>371.86</v>
      </c>
      <c r="E177" s="4">
        <v>394.35</v>
      </c>
      <c r="F177" s="4">
        <v>363.36</v>
      </c>
      <c r="G177" s="4">
        <v>292.66000000000003</v>
      </c>
      <c r="H177" s="4">
        <v>301.73</v>
      </c>
    </row>
    <row r="178" spans="1:12" x14ac:dyDescent="0.45">
      <c r="A178" s="4" t="s">
        <v>209</v>
      </c>
      <c r="B178" s="4" t="s">
        <v>54</v>
      </c>
      <c r="C178" s="4"/>
      <c r="D178" s="4">
        <v>367.83</v>
      </c>
      <c r="E178" s="4">
        <v>380.22</v>
      </c>
      <c r="F178" s="4">
        <v>345.81</v>
      </c>
      <c r="G178" s="4">
        <v>287.02999999999997</v>
      </c>
      <c r="H178" s="4">
        <v>297.54000000000002</v>
      </c>
    </row>
    <row r="179" spans="1:12" x14ac:dyDescent="0.45">
      <c r="A179" s="6" t="s">
        <v>210</v>
      </c>
      <c r="B179" s="6"/>
      <c r="C179" s="6"/>
      <c r="D179" s="7">
        <v>1863.6</v>
      </c>
      <c r="E179" s="7">
        <v>2184.5700000000002</v>
      </c>
      <c r="F179" s="7">
        <v>2130.46</v>
      </c>
      <c r="G179" s="7">
        <v>1606.8</v>
      </c>
      <c r="H179" s="7">
        <v>1156.19</v>
      </c>
    </row>
    <row r="180" spans="1:12" x14ac:dyDescent="0.45">
      <c r="A180" s="38" t="s">
        <v>211</v>
      </c>
      <c r="B180" s="39"/>
      <c r="C180" s="39"/>
      <c r="D180" s="39"/>
      <c r="E180" s="39"/>
      <c r="F180" s="39"/>
      <c r="G180" s="39"/>
      <c r="H180" s="40"/>
    </row>
    <row r="181" spans="1:12" x14ac:dyDescent="0.45">
      <c r="A181" s="4" t="s">
        <v>212</v>
      </c>
      <c r="B181" s="4" t="s">
        <v>213</v>
      </c>
      <c r="C181" s="4" t="s">
        <v>214</v>
      </c>
      <c r="D181" s="4">
        <v>59.52</v>
      </c>
      <c r="E181" s="4">
        <v>12</v>
      </c>
      <c r="F181" s="4">
        <v>0</v>
      </c>
      <c r="G181" s="4">
        <v>0</v>
      </c>
      <c r="H181" s="4">
        <v>0</v>
      </c>
      <c r="K181" t="s">
        <v>441</v>
      </c>
    </row>
    <row r="182" spans="1:12" x14ac:dyDescent="0.45">
      <c r="A182" s="4" t="s">
        <v>215</v>
      </c>
      <c r="B182" s="4" t="s">
        <v>54</v>
      </c>
      <c r="C182" s="4"/>
      <c r="D182" s="4">
        <v>51.21</v>
      </c>
      <c r="E182" s="4">
        <v>43</v>
      </c>
      <c r="F182" s="4">
        <v>28.54</v>
      </c>
      <c r="G182" s="4">
        <v>26.89</v>
      </c>
      <c r="H182" s="4">
        <v>15.77</v>
      </c>
      <c r="L182" s="33">
        <f>H90+H188</f>
        <v>66929.429999999993</v>
      </c>
    </row>
    <row r="183" spans="1:12" x14ac:dyDescent="0.45">
      <c r="A183" s="4" t="s">
        <v>216</v>
      </c>
      <c r="B183" s="4" t="s">
        <v>54</v>
      </c>
      <c r="C183" s="4"/>
      <c r="D183" s="4">
        <v>10.66</v>
      </c>
      <c r="E183" s="4">
        <v>10</v>
      </c>
      <c r="F183" s="4">
        <v>9.2899999999999991</v>
      </c>
      <c r="G183" s="4">
        <v>10.41</v>
      </c>
      <c r="H183" s="4">
        <v>1.58</v>
      </c>
    </row>
    <row r="184" spans="1:12" x14ac:dyDescent="0.45">
      <c r="A184" s="4" t="s">
        <v>217</v>
      </c>
      <c r="B184" s="4" t="s">
        <v>218</v>
      </c>
      <c r="C184" s="4"/>
      <c r="D184" s="4">
        <v>412.91</v>
      </c>
      <c r="E184" s="4">
        <v>452.88</v>
      </c>
      <c r="F184" s="4">
        <v>406.69</v>
      </c>
      <c r="G184" s="4">
        <v>346.26</v>
      </c>
      <c r="H184" s="4">
        <v>324.54000000000002</v>
      </c>
    </row>
    <row r="185" spans="1:12" x14ac:dyDescent="0.45">
      <c r="A185" s="4" t="s">
        <v>219</v>
      </c>
      <c r="B185" s="4" t="s">
        <v>54</v>
      </c>
      <c r="C185" s="4" t="s">
        <v>54</v>
      </c>
      <c r="D185" s="4" t="s">
        <v>44</v>
      </c>
      <c r="E185" s="4">
        <v>61</v>
      </c>
      <c r="F185" s="4">
        <v>35.44</v>
      </c>
      <c r="G185" s="4">
        <v>21.08</v>
      </c>
      <c r="H185" s="4">
        <v>3.08</v>
      </c>
    </row>
    <row r="186" spans="1:12" x14ac:dyDescent="0.45">
      <c r="A186" s="4" t="s">
        <v>220</v>
      </c>
      <c r="B186" s="4" t="s">
        <v>54</v>
      </c>
      <c r="C186" s="4" t="s">
        <v>54</v>
      </c>
      <c r="D186" s="4" t="s">
        <v>44</v>
      </c>
      <c r="E186" s="4">
        <v>0.02</v>
      </c>
      <c r="F186" s="4">
        <v>2.98</v>
      </c>
      <c r="G186" s="4">
        <v>2.2599999999999998</v>
      </c>
      <c r="H186" s="4">
        <v>3.36</v>
      </c>
    </row>
    <row r="187" spans="1:12" x14ac:dyDescent="0.45">
      <c r="A187" s="16" t="s">
        <v>221</v>
      </c>
      <c r="B187" s="16"/>
      <c r="C187" s="16"/>
      <c r="D187" s="16">
        <v>534.29999999999995</v>
      </c>
      <c r="E187" s="16">
        <v>578.9</v>
      </c>
      <c r="F187" s="16">
        <v>482.94</v>
      </c>
      <c r="G187" s="16">
        <v>406.9</v>
      </c>
      <c r="H187" s="16">
        <v>348.33</v>
      </c>
    </row>
    <row r="188" spans="1:12" x14ac:dyDescent="0.45">
      <c r="A188" s="10" t="s">
        <v>222</v>
      </c>
      <c r="B188" s="10"/>
      <c r="C188" s="10"/>
      <c r="D188" s="11">
        <v>12026.8</v>
      </c>
      <c r="E188" s="11">
        <v>12949.07</v>
      </c>
      <c r="F188" s="11">
        <v>10503.36</v>
      </c>
      <c r="G188" s="11">
        <v>9106.7900000000009</v>
      </c>
      <c r="H188" s="11">
        <v>8975.84</v>
      </c>
    </row>
    <row r="189" spans="1:12" x14ac:dyDescent="0.45">
      <c r="A189" s="38" t="s">
        <v>223</v>
      </c>
      <c r="B189" s="39"/>
      <c r="C189" s="39"/>
      <c r="D189" s="39"/>
      <c r="E189" s="39"/>
      <c r="F189" s="39"/>
      <c r="G189" s="39"/>
      <c r="H189" s="40"/>
    </row>
    <row r="190" spans="1:12" x14ac:dyDescent="0.45">
      <c r="A190" s="4" t="s">
        <v>224</v>
      </c>
      <c r="B190" s="4" t="s">
        <v>168</v>
      </c>
      <c r="C190" s="4" t="s">
        <v>168</v>
      </c>
      <c r="D190" s="4">
        <v>88.28</v>
      </c>
      <c r="E190" s="4">
        <v>90.87</v>
      </c>
      <c r="F190" s="4">
        <v>89.58</v>
      </c>
      <c r="G190" s="4">
        <v>89.32</v>
      </c>
      <c r="H190" s="4">
        <v>88.08</v>
      </c>
    </row>
    <row r="191" spans="1:12" x14ac:dyDescent="0.45">
      <c r="A191" s="4" t="s">
        <v>225</v>
      </c>
      <c r="B191" s="4" t="s">
        <v>168</v>
      </c>
      <c r="C191" s="4" t="s">
        <v>168</v>
      </c>
      <c r="D191" s="4">
        <v>65</v>
      </c>
      <c r="E191" s="4">
        <v>108.69</v>
      </c>
      <c r="F191" s="4">
        <v>102.64</v>
      </c>
      <c r="G191" s="4">
        <v>101.69</v>
      </c>
      <c r="H191" s="4">
        <v>99.3</v>
      </c>
    </row>
    <row r="192" spans="1:12" x14ac:dyDescent="0.45">
      <c r="A192" s="4" t="s">
        <v>178</v>
      </c>
      <c r="B192" s="4" t="s">
        <v>168</v>
      </c>
      <c r="C192" s="4" t="s">
        <v>168</v>
      </c>
      <c r="D192" s="4" t="s">
        <v>44</v>
      </c>
      <c r="E192" s="4" t="s">
        <v>44</v>
      </c>
      <c r="F192" s="4">
        <v>44</v>
      </c>
      <c r="G192" s="4">
        <v>107.18</v>
      </c>
      <c r="H192" s="4">
        <v>195.07</v>
      </c>
    </row>
    <row r="193" spans="1:18" x14ac:dyDescent="0.45">
      <c r="A193" s="4" t="s">
        <v>226</v>
      </c>
      <c r="B193" s="4"/>
      <c r="C193" s="4"/>
      <c r="D193" s="4">
        <v>153.28</v>
      </c>
      <c r="E193" s="4">
        <v>199.56</v>
      </c>
      <c r="F193" s="4">
        <v>236.22</v>
      </c>
      <c r="G193" s="4">
        <v>298.19</v>
      </c>
      <c r="H193" s="4">
        <v>382.45</v>
      </c>
    </row>
    <row r="194" spans="1:18" x14ac:dyDescent="0.45">
      <c r="A194" s="16" t="s">
        <v>227</v>
      </c>
      <c r="B194" s="16"/>
      <c r="C194" s="16"/>
      <c r="D194" s="17">
        <v>12180.08</v>
      </c>
      <c r="E194" s="17">
        <v>13148.63</v>
      </c>
      <c r="F194" s="17">
        <v>10739.58</v>
      </c>
      <c r="G194" s="17">
        <v>9404.98</v>
      </c>
      <c r="H194" s="17">
        <v>9358.2900000000009</v>
      </c>
    </row>
    <row r="195" spans="1:18" x14ac:dyDescent="0.45">
      <c r="A195" s="38" t="s">
        <v>228</v>
      </c>
      <c r="B195" s="39"/>
      <c r="C195" s="39"/>
      <c r="D195" s="39"/>
      <c r="E195" s="39"/>
      <c r="F195" s="39"/>
      <c r="G195" s="39"/>
      <c r="H195" s="40"/>
    </row>
    <row r="196" spans="1:18" x14ac:dyDescent="0.45">
      <c r="A196" s="16" t="s">
        <v>229</v>
      </c>
      <c r="B196" s="16"/>
      <c r="C196" s="16"/>
      <c r="D196" s="16">
        <v>170.99</v>
      </c>
      <c r="E196" s="16">
        <v>216.8</v>
      </c>
      <c r="F196" s="16">
        <v>136.31</v>
      </c>
      <c r="G196" s="16">
        <v>150.02000000000001</v>
      </c>
      <c r="H196" s="16">
        <v>314.19</v>
      </c>
    </row>
    <row r="197" spans="1:18" x14ac:dyDescent="0.45">
      <c r="A197" s="10" t="s">
        <v>230</v>
      </c>
      <c r="B197" s="10"/>
      <c r="C197" s="10"/>
      <c r="D197" s="11">
        <v>134241.49</v>
      </c>
      <c r="E197" s="11">
        <v>143588.07999999999</v>
      </c>
      <c r="F197" s="11">
        <v>154056.18</v>
      </c>
      <c r="G197" s="11">
        <v>138539</v>
      </c>
      <c r="H197" s="11">
        <v>137196.07</v>
      </c>
    </row>
    <row r="200" spans="1:18" x14ac:dyDescent="0.45">
      <c r="K200" s="4" t="s">
        <v>167</v>
      </c>
      <c r="L200" s="4" t="s">
        <v>168</v>
      </c>
      <c r="M200" s="4" t="s">
        <v>168</v>
      </c>
      <c r="N200" s="4">
        <v>164.99</v>
      </c>
      <c r="O200" s="4">
        <v>165.56</v>
      </c>
      <c r="P200" s="4">
        <v>164.69</v>
      </c>
      <c r="Q200" s="4">
        <v>160.47</v>
      </c>
      <c r="R200" s="4">
        <v>155.11000000000001</v>
      </c>
    </row>
    <row r="201" spans="1:18" x14ac:dyDescent="0.45">
      <c r="K201" s="4" t="s">
        <v>169</v>
      </c>
      <c r="L201" s="4" t="s">
        <v>168</v>
      </c>
      <c r="M201" s="4" t="s">
        <v>168</v>
      </c>
      <c r="N201" s="4">
        <v>163.02000000000001</v>
      </c>
      <c r="O201" s="4">
        <v>164.9</v>
      </c>
      <c r="P201" s="4">
        <v>168.68</v>
      </c>
      <c r="Q201" s="4">
        <v>165.83</v>
      </c>
      <c r="R201" s="4">
        <v>162</v>
      </c>
    </row>
    <row r="202" spans="1:18" x14ac:dyDescent="0.45">
      <c r="K202" s="4" t="s">
        <v>170</v>
      </c>
      <c r="L202" s="4" t="s">
        <v>168</v>
      </c>
      <c r="M202" s="4" t="s">
        <v>168</v>
      </c>
      <c r="N202" s="4">
        <v>162.91999999999999</v>
      </c>
      <c r="O202" s="4">
        <v>164.25</v>
      </c>
      <c r="P202" s="4">
        <v>167.34</v>
      </c>
      <c r="Q202" s="4">
        <v>166.17</v>
      </c>
      <c r="R202" s="4">
        <v>158.94999999999999</v>
      </c>
    </row>
    <row r="203" spans="1:18" x14ac:dyDescent="0.45">
      <c r="K203" s="4" t="s">
        <v>171</v>
      </c>
      <c r="L203" s="4" t="s">
        <v>168</v>
      </c>
      <c r="M203" s="4" t="s">
        <v>168</v>
      </c>
      <c r="N203" s="4">
        <v>165.31</v>
      </c>
      <c r="O203" s="4">
        <v>166.97</v>
      </c>
      <c r="P203" s="4">
        <v>169.18</v>
      </c>
      <c r="Q203" s="4">
        <v>169.83</v>
      </c>
      <c r="R203" s="4">
        <v>163.24</v>
      </c>
    </row>
    <row r="204" spans="1:18" x14ac:dyDescent="0.45">
      <c r="K204" s="4" t="s">
        <v>172</v>
      </c>
      <c r="L204" s="4" t="s">
        <v>168</v>
      </c>
      <c r="M204" s="4" t="s">
        <v>168</v>
      </c>
      <c r="N204" s="4">
        <v>18.03</v>
      </c>
      <c r="O204" s="4">
        <v>18.5</v>
      </c>
      <c r="P204" s="4">
        <v>65.37</v>
      </c>
      <c r="Q204" s="4">
        <v>18.350000000000001</v>
      </c>
      <c r="R204" s="4">
        <v>17.59</v>
      </c>
    </row>
    <row r="205" spans="1:18" x14ac:dyDescent="0.45">
      <c r="K205" s="4" t="s">
        <v>173</v>
      </c>
      <c r="L205" s="4" t="s">
        <v>168</v>
      </c>
      <c r="M205" s="4" t="s">
        <v>168</v>
      </c>
      <c r="N205" s="4">
        <v>30.69</v>
      </c>
      <c r="O205" s="4">
        <v>31.45</v>
      </c>
      <c r="P205" s="4">
        <v>18.78</v>
      </c>
      <c r="Q205" s="4">
        <v>31.07</v>
      </c>
      <c r="R205" s="4">
        <v>30.28</v>
      </c>
    </row>
    <row r="206" spans="1:18" x14ac:dyDescent="0.45">
      <c r="K206" s="4" t="s">
        <v>174</v>
      </c>
      <c r="L206" s="4" t="s">
        <v>168</v>
      </c>
      <c r="M206" s="4" t="s">
        <v>168</v>
      </c>
      <c r="N206" s="4" t="s">
        <v>44</v>
      </c>
      <c r="O206" s="4" t="s">
        <v>44</v>
      </c>
      <c r="P206" s="4">
        <v>31.37</v>
      </c>
      <c r="Q206" s="4">
        <v>197.12</v>
      </c>
      <c r="R206" s="4">
        <v>191.87</v>
      </c>
    </row>
    <row r="207" spans="1:18" x14ac:dyDescent="0.45">
      <c r="K207" s="4" t="s">
        <v>175</v>
      </c>
      <c r="L207" s="4" t="s">
        <v>168</v>
      </c>
      <c r="M207" s="4" t="s">
        <v>168</v>
      </c>
      <c r="N207" s="4" t="s">
        <v>44</v>
      </c>
      <c r="O207" s="4" t="s">
        <v>44</v>
      </c>
      <c r="P207" s="4" t="s">
        <v>44</v>
      </c>
      <c r="Q207" s="4" t="s">
        <v>44</v>
      </c>
      <c r="R207" s="4">
        <v>49.48</v>
      </c>
    </row>
    <row r="208" spans="1:18" x14ac:dyDescent="0.45">
      <c r="K208" s="4" t="s">
        <v>176</v>
      </c>
      <c r="L208" s="4" t="s">
        <v>168</v>
      </c>
      <c r="M208" s="4" t="s">
        <v>168</v>
      </c>
      <c r="N208" s="4" t="s">
        <v>44</v>
      </c>
      <c r="O208" s="4" t="s">
        <v>44</v>
      </c>
      <c r="P208" s="4" t="s">
        <v>44</v>
      </c>
      <c r="Q208" s="4" t="s">
        <v>44</v>
      </c>
      <c r="R208" s="4">
        <v>50.76</v>
      </c>
    </row>
    <row r="209" spans="11:18" x14ac:dyDescent="0.45">
      <c r="K209" s="4" t="s">
        <v>177</v>
      </c>
      <c r="L209" s="4" t="s">
        <v>168</v>
      </c>
      <c r="M209" s="4" t="s">
        <v>168</v>
      </c>
      <c r="N209" s="4" t="s">
        <v>44</v>
      </c>
      <c r="O209" s="4" t="s">
        <v>44</v>
      </c>
      <c r="P209" s="4" t="s">
        <v>44</v>
      </c>
      <c r="Q209" s="4" t="s">
        <v>44</v>
      </c>
      <c r="R209" s="4">
        <v>49.62</v>
      </c>
    </row>
    <row r="210" spans="11:18" x14ac:dyDescent="0.45">
      <c r="K210" s="4" t="s">
        <v>178</v>
      </c>
      <c r="L210" s="4" t="s">
        <v>168</v>
      </c>
      <c r="M210" s="4" t="s">
        <v>168</v>
      </c>
      <c r="N210" s="4" t="s">
        <v>44</v>
      </c>
      <c r="O210" s="4" t="s">
        <v>44</v>
      </c>
      <c r="P210" s="4" t="s">
        <v>44</v>
      </c>
      <c r="Q210" s="4">
        <v>183.04</v>
      </c>
      <c r="R210" s="4">
        <v>438.46</v>
      </c>
    </row>
    <row r="211" spans="11:18" x14ac:dyDescent="0.45">
      <c r="K211" s="4" t="s">
        <v>224</v>
      </c>
      <c r="L211" s="4" t="s">
        <v>168</v>
      </c>
      <c r="M211" s="4" t="s">
        <v>168</v>
      </c>
      <c r="N211" s="4">
        <v>88.28</v>
      </c>
      <c r="O211" s="4">
        <v>90.87</v>
      </c>
      <c r="P211" s="4">
        <v>89.58</v>
      </c>
      <c r="Q211" s="4">
        <v>89.32</v>
      </c>
      <c r="R211" s="4">
        <v>88.08</v>
      </c>
    </row>
    <row r="212" spans="11:18" x14ac:dyDescent="0.45">
      <c r="K212" s="4" t="s">
        <v>225</v>
      </c>
      <c r="L212" s="4" t="s">
        <v>168</v>
      </c>
      <c r="M212" s="4" t="s">
        <v>168</v>
      </c>
      <c r="N212" s="4">
        <v>65</v>
      </c>
      <c r="O212" s="4">
        <v>108.69</v>
      </c>
      <c r="P212" s="4">
        <v>102.64</v>
      </c>
      <c r="Q212" s="4">
        <v>101.69</v>
      </c>
      <c r="R212" s="4">
        <v>99.3</v>
      </c>
    </row>
    <row r="213" spans="11:18" x14ac:dyDescent="0.45">
      <c r="K213" s="4" t="s">
        <v>178</v>
      </c>
      <c r="L213" s="4" t="s">
        <v>168</v>
      </c>
      <c r="M213" s="4" t="s">
        <v>168</v>
      </c>
      <c r="N213" s="4" t="s">
        <v>44</v>
      </c>
      <c r="O213" s="4" t="s">
        <v>44</v>
      </c>
      <c r="P213" s="4">
        <v>44</v>
      </c>
      <c r="Q213" s="4">
        <v>107.18</v>
      </c>
      <c r="R213" s="4">
        <v>195.07</v>
      </c>
    </row>
    <row r="214" spans="11:18" x14ac:dyDescent="0.45">
      <c r="N214">
        <f>SUBTOTAL(9,N200:N213)</f>
        <v>858.24</v>
      </c>
      <c r="O214">
        <f t="shared" ref="O214:R214" si="2">SUBTOTAL(9,O200:O213)</f>
        <v>911.19</v>
      </c>
      <c r="P214">
        <f t="shared" si="2"/>
        <v>1021.6300000000001</v>
      </c>
      <c r="Q214">
        <f t="shared" si="2"/>
        <v>1390.0700000000002</v>
      </c>
      <c r="R214">
        <f t="shared" si="2"/>
        <v>1849.8099999999997</v>
      </c>
    </row>
  </sheetData>
  <autoFilter ref="A1:H197" xr:uid="{5434F488-FFE8-41BD-80C0-4BB763FD31DD}"/>
  <mergeCells count="29">
    <mergeCell ref="B85:C85"/>
    <mergeCell ref="A2:H2"/>
    <mergeCell ref="A3:H3"/>
    <mergeCell ref="A16:H16"/>
    <mergeCell ref="A28:H28"/>
    <mergeCell ref="A40:B40"/>
    <mergeCell ref="A41:H41"/>
    <mergeCell ref="A50:H50"/>
    <mergeCell ref="B76:C76"/>
    <mergeCell ref="B82:C82"/>
    <mergeCell ref="B83:C83"/>
    <mergeCell ref="B84:C84"/>
    <mergeCell ref="B160:C160"/>
    <mergeCell ref="B87:C87"/>
    <mergeCell ref="B88:C88"/>
    <mergeCell ref="A91:H91"/>
    <mergeCell ref="A99:B99"/>
    <mergeCell ref="A100:H100"/>
    <mergeCell ref="A103:H103"/>
    <mergeCell ref="A104:H104"/>
    <mergeCell ref="A142:H142"/>
    <mergeCell ref="A155:H155"/>
    <mergeCell ref="B156:C156"/>
    <mergeCell ref="B157:C157"/>
    <mergeCell ref="A166:H166"/>
    <mergeCell ref="A174:H174"/>
    <mergeCell ref="A180:H180"/>
    <mergeCell ref="A189:H189"/>
    <mergeCell ref="A195:H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Thermal</vt:lpstr>
      <vt:lpstr>Plant-wise Capacity</vt:lpstr>
      <vt:lpstr>Solar</vt:lpstr>
      <vt:lpstr>Sheet4</vt:lpstr>
      <vt:lpstr>Plant-wise 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2025-07-25T09:50:44Z</dcterms:created>
  <dcterms:modified xsi:type="dcterms:W3CDTF">2025-09-24T03:42:59Z</dcterms:modified>
</cp:coreProperties>
</file>