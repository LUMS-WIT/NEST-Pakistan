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DA0605DB-1623-439E-B952-3962CA4B5C41}" xr6:coauthVersionLast="47" xr6:coauthVersionMax="47" xr10:uidLastSave="{00000000-0000-0000-0000-000000000000}"/>
  <bookViews>
    <workbookView xWindow="6900" yWindow="-16320" windowWidth="29040" windowHeight="16440" xr2:uid="{00000000-000D-0000-FFFF-FFFF00000000}"/>
  </bookViews>
  <sheets>
    <sheet name="gene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C15" i="1" l="1"/>
  <c r="D15" i="1"/>
  <c r="E15" i="1"/>
  <c r="F15" i="1"/>
  <c r="H15" i="1"/>
  <c r="B15" i="1"/>
  <c r="C13" i="1"/>
  <c r="D13" i="1"/>
  <c r="E13" i="1"/>
  <c r="F13" i="1"/>
  <c r="H13" i="1"/>
  <c r="B13" i="1"/>
</calcChain>
</file>

<file path=xl/sharedStrings.xml><?xml version="1.0" encoding="utf-8"?>
<sst xmlns="http://schemas.openxmlformats.org/spreadsheetml/2006/main" count="22" uniqueCount="22">
  <si>
    <t>2020</t>
  </si>
  <si>
    <t>2021</t>
  </si>
  <si>
    <t>2022</t>
  </si>
  <si>
    <t>2023</t>
  </si>
  <si>
    <t>2024</t>
  </si>
  <si>
    <t>CAGR_2020_2024_%</t>
  </si>
  <si>
    <t>2025_est</t>
  </si>
  <si>
    <t>Hydro</t>
  </si>
  <si>
    <t>Nuclear</t>
  </si>
  <si>
    <t>Import</t>
  </si>
  <si>
    <t>Wind</t>
  </si>
  <si>
    <t>Bagasse/Biomass</t>
  </si>
  <si>
    <t>Coal</t>
  </si>
  <si>
    <t>Gas</t>
  </si>
  <si>
    <t>Oil</t>
  </si>
  <si>
    <t>SPPs/CPPs/N-CPPs</t>
  </si>
  <si>
    <t>Total</t>
  </si>
  <si>
    <t>Total-SolarSIR-SPPs</t>
  </si>
  <si>
    <t>Solar_SIR</t>
  </si>
  <si>
    <t>Solar_EMBER_est</t>
  </si>
  <si>
    <t>Total - SPPs</t>
  </si>
  <si>
    <t>2025_est GWa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</si>
</sst>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40" zoomScaleNormal="140" workbookViewId="0">
      <selection activeCell="H20" sqref="H20"/>
    </sheetView>
  </sheetViews>
  <sheetFormatPr defaultColWidth="13.59765625" defaultRowHeight="14.25" x14ac:dyDescent="0.45"/>
  <sheetData>
    <row r="1" spans="1:9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</v>
      </c>
    </row>
    <row r="2" spans="1:9" x14ac:dyDescent="0.45">
      <c r="A2" s="2" t="s">
        <v>7</v>
      </c>
      <c r="B2" s="2">
        <v>38698.589999999997</v>
      </c>
      <c r="C2" s="2">
        <v>38800.54</v>
      </c>
      <c r="D2" s="2">
        <v>35546.28</v>
      </c>
      <c r="E2" s="2">
        <v>36262.31</v>
      </c>
      <c r="F2" s="2">
        <v>39902.339999999997</v>
      </c>
      <c r="G2" s="2">
        <v>0.76873479807681999</v>
      </c>
      <c r="H2" s="2">
        <v>40209.083172826933</v>
      </c>
      <c r="I2">
        <f>H2/8760</f>
        <v>4.5900779877656319</v>
      </c>
    </row>
    <row r="3" spans="1:9" x14ac:dyDescent="0.45">
      <c r="A3" s="2" t="s">
        <v>8</v>
      </c>
      <c r="B3" s="2">
        <v>9898.02</v>
      </c>
      <c r="C3" s="2">
        <v>11090.05</v>
      </c>
      <c r="D3" s="2">
        <v>18293.55</v>
      </c>
      <c r="E3" s="2">
        <v>24054.560000000001</v>
      </c>
      <c r="F3" s="2">
        <v>23154.81</v>
      </c>
      <c r="G3" s="2">
        <v>23.672523825189231</v>
      </c>
      <c r="H3" s="2">
        <v>28636.137913927301</v>
      </c>
      <c r="I3">
        <f t="shared" ref="I3:I15" si="0">H3/8760</f>
        <v>3.2689655152885049</v>
      </c>
    </row>
    <row r="4" spans="1:9" x14ac:dyDescent="0.45">
      <c r="A4" s="2" t="s">
        <v>9</v>
      </c>
      <c r="B4" s="2">
        <v>513.74</v>
      </c>
      <c r="C4" s="2">
        <v>498.37</v>
      </c>
      <c r="D4" s="2">
        <v>514.36</v>
      </c>
      <c r="E4" s="2">
        <v>478.62</v>
      </c>
      <c r="F4" s="2">
        <v>377.58</v>
      </c>
      <c r="G4" s="2">
        <v>-7.4095062167079826</v>
      </c>
      <c r="H4" s="2">
        <v>349.60318642695398</v>
      </c>
      <c r="I4">
        <f t="shared" si="0"/>
        <v>3.9909039546455936E-2</v>
      </c>
    </row>
    <row r="5" spans="1:9" x14ac:dyDescent="0.45">
      <c r="A5" s="2" t="s">
        <v>10</v>
      </c>
      <c r="B5" s="2">
        <v>2882.48</v>
      </c>
      <c r="C5" s="2">
        <v>2899.94</v>
      </c>
      <c r="D5" s="2">
        <v>4584.17</v>
      </c>
      <c r="E5" s="2">
        <v>4086.05</v>
      </c>
      <c r="F5" s="2">
        <v>3941.07</v>
      </c>
      <c r="G5" s="2">
        <v>8.1339236074734256</v>
      </c>
      <c r="H5" s="2">
        <v>4261.6336231170544</v>
      </c>
      <c r="I5">
        <f t="shared" si="0"/>
        <v>0.4864878565202117</v>
      </c>
    </row>
    <row r="6" spans="1:9" x14ac:dyDescent="0.45">
      <c r="A6" s="2" t="s">
        <v>11</v>
      </c>
      <c r="B6" s="2">
        <v>564.46</v>
      </c>
      <c r="C6" s="2">
        <v>710.56</v>
      </c>
      <c r="D6" s="2">
        <v>826.06</v>
      </c>
      <c r="E6" s="2">
        <v>845.36</v>
      </c>
      <c r="F6" s="2">
        <v>726.85</v>
      </c>
      <c r="G6" s="2">
        <v>6.5253343124358043</v>
      </c>
      <c r="H6" s="2">
        <v>774.27939244993968</v>
      </c>
      <c r="I6">
        <f t="shared" si="0"/>
        <v>8.8388058498851563E-2</v>
      </c>
    </row>
    <row r="7" spans="1:9" x14ac:dyDescent="0.45">
      <c r="A7" s="2" t="s">
        <v>12</v>
      </c>
      <c r="B7" s="2">
        <v>25966.26</v>
      </c>
      <c r="C7" s="2">
        <v>28000.67</v>
      </c>
      <c r="D7" s="2">
        <v>26982.65</v>
      </c>
      <c r="E7" s="2">
        <v>21320.15</v>
      </c>
      <c r="F7" s="2">
        <v>20542.46</v>
      </c>
      <c r="G7" s="2">
        <v>-5.6893447699013722</v>
      </c>
      <c r="H7" s="2">
        <v>19373.728626380918</v>
      </c>
      <c r="I7">
        <f t="shared" si="0"/>
        <v>2.2116128568927991</v>
      </c>
    </row>
    <row r="8" spans="1:9" x14ac:dyDescent="0.45">
      <c r="A8" s="2" t="s">
        <v>13</v>
      </c>
      <c r="B8" s="2">
        <v>50504.56</v>
      </c>
      <c r="C8" s="2">
        <v>54135.66</v>
      </c>
      <c r="D8" s="2">
        <v>54893.12999999999</v>
      </c>
      <c r="E8" s="2">
        <v>44419.970000000023</v>
      </c>
      <c r="F8" s="2">
        <v>43403.719999999987</v>
      </c>
      <c r="G8" s="2">
        <v>-3.7171160151198031</v>
      </c>
      <c r="H8" s="2">
        <v>41790.353372722238</v>
      </c>
      <c r="I8">
        <f t="shared" si="0"/>
        <v>4.7705882845573333</v>
      </c>
    </row>
    <row r="9" spans="1:9" x14ac:dyDescent="0.45">
      <c r="A9" s="2" t="s">
        <v>14</v>
      </c>
      <c r="B9" s="2">
        <v>4184.1499999999996</v>
      </c>
      <c r="C9" s="2">
        <v>6324.3</v>
      </c>
      <c r="D9" s="2">
        <v>11258.04</v>
      </c>
      <c r="E9" s="2">
        <v>5531.9100000000008</v>
      </c>
      <c r="F9" s="2">
        <v>2983.26</v>
      </c>
      <c r="G9" s="2">
        <v>-8.1094258871357123</v>
      </c>
      <c r="H9" s="2">
        <v>2741.3347412794351</v>
      </c>
      <c r="I9">
        <f t="shared" si="0"/>
        <v>0.31293775585381678</v>
      </c>
    </row>
    <row r="10" spans="1:9" x14ac:dyDescent="0.45">
      <c r="A10" t="s">
        <v>15</v>
      </c>
      <c r="B10">
        <v>170.99</v>
      </c>
      <c r="C10">
        <v>216.8</v>
      </c>
      <c r="D10">
        <v>136.31</v>
      </c>
      <c r="E10">
        <v>150.02000000000001</v>
      </c>
      <c r="F10">
        <v>314.19</v>
      </c>
      <c r="G10">
        <v>16.42745693313088</v>
      </c>
      <c r="H10">
        <v>365.80342693820393</v>
      </c>
      <c r="I10">
        <f t="shared" si="0"/>
        <v>4.1758382070571226E-2</v>
      </c>
    </row>
    <row r="11" spans="1:9" x14ac:dyDescent="0.45">
      <c r="A11" t="s">
        <v>18</v>
      </c>
      <c r="B11">
        <v>858.24</v>
      </c>
      <c r="C11">
        <v>911.19</v>
      </c>
      <c r="D11">
        <v>1021.63</v>
      </c>
      <c r="E11">
        <v>1390.07</v>
      </c>
      <c r="F11">
        <v>1849.81</v>
      </c>
      <c r="G11">
        <v>21.16567129181783</v>
      </c>
      <c r="H11">
        <v>2241.334704123175</v>
      </c>
      <c r="I11">
        <f t="shared" si="0"/>
        <v>0.25586012604145836</v>
      </c>
    </row>
    <row r="12" spans="1:9" x14ac:dyDescent="0.45">
      <c r="A12" t="s">
        <v>16</v>
      </c>
      <c r="B12">
        <v>134241.49</v>
      </c>
      <c r="C12">
        <v>143588.07999999999</v>
      </c>
      <c r="D12">
        <v>154056.18</v>
      </c>
      <c r="E12">
        <v>138539.01999999999</v>
      </c>
      <c r="F12">
        <v>137196.09</v>
      </c>
      <c r="G12">
        <v>0.54575570416572905</v>
      </c>
      <c r="H12">
        <v>137944.84548706739</v>
      </c>
      <c r="I12">
        <f t="shared" si="0"/>
        <v>15.747128480258834</v>
      </c>
    </row>
    <row r="13" spans="1:9" x14ac:dyDescent="0.45">
      <c r="A13" s="4" t="s">
        <v>17</v>
      </c>
      <c r="B13" s="4">
        <f>SUM(B2:B9)</f>
        <v>133212.26</v>
      </c>
      <c r="C13" s="4">
        <f t="shared" ref="C13:H13" si="1">SUM(C2:C9)</f>
        <v>142460.09</v>
      </c>
      <c r="D13" s="4">
        <f t="shared" si="1"/>
        <v>152898.24000000002</v>
      </c>
      <c r="E13" s="4">
        <f t="shared" si="1"/>
        <v>136998.93000000002</v>
      </c>
      <c r="F13" s="4">
        <f t="shared" si="1"/>
        <v>135032.09000000003</v>
      </c>
      <c r="G13" s="4"/>
      <c r="H13" s="4">
        <f t="shared" si="1"/>
        <v>138136.15402913076</v>
      </c>
      <c r="I13">
        <f t="shared" si="0"/>
        <v>15.768967354923603</v>
      </c>
    </row>
    <row r="14" spans="1:9" x14ac:dyDescent="0.45">
      <c r="A14" t="s">
        <v>19</v>
      </c>
      <c r="B14">
        <v>3267.48</v>
      </c>
      <c r="C14">
        <v>5177.16</v>
      </c>
      <c r="D14">
        <v>7060.56</v>
      </c>
      <c r="E14">
        <v>9776.16</v>
      </c>
      <c r="F14">
        <v>15014.64</v>
      </c>
      <c r="H14">
        <v>29310.959999999999</v>
      </c>
      <c r="I14">
        <f t="shared" si="0"/>
        <v>3.3460000000000001</v>
      </c>
    </row>
    <row r="15" spans="1:9" x14ac:dyDescent="0.45">
      <c r="A15" t="s">
        <v>20</v>
      </c>
      <c r="B15">
        <f>SUM(B13:B14)</f>
        <v>136479.74000000002</v>
      </c>
      <c r="C15">
        <f t="shared" ref="C15:H15" si="2">SUM(C13:C14)</f>
        <v>147637.25</v>
      </c>
      <c r="D15">
        <f t="shared" si="2"/>
        <v>159958.80000000002</v>
      </c>
      <c r="E15">
        <f t="shared" si="2"/>
        <v>146775.09000000003</v>
      </c>
      <c r="F15">
        <f t="shared" si="2"/>
        <v>150046.73000000004</v>
      </c>
      <c r="H15" s="3">
        <f t="shared" si="2"/>
        <v>167447.11402913075</v>
      </c>
      <c r="I15">
        <f t="shared" si="0"/>
        <v>19.114967354923603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Arfa Yaseen</cp:lastModifiedBy>
  <dcterms:created xsi:type="dcterms:W3CDTF">2025-09-22T08:19:24Z</dcterms:created>
  <dcterms:modified xsi:type="dcterms:W3CDTF">2025-09-23T06:39:08Z</dcterms:modified>
</cp:coreProperties>
</file>