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8_{B6A4B356-067A-41AE-B01A-F6D84A33FB04}" xr6:coauthVersionLast="47" xr6:coauthVersionMax="47" xr10:uidLastSave="{00000000-0000-0000-0000-000000000000}"/>
  <bookViews>
    <workbookView xWindow="-98" yWindow="-98" windowWidth="21795" windowHeight="13695" activeTab="1" xr2:uid="{320CB737-AE1E-4120-9340-1D7AE5237C80}"/>
  </bookViews>
  <sheets>
    <sheet name="Sheet4" sheetId="7" r:id="rId1"/>
    <sheet name="Sectors" sheetId="6" r:id="rId2"/>
    <sheet name="Coal" sheetId="8" r:id="rId3"/>
    <sheet name="Oil" sheetId="3" r:id="rId4"/>
    <sheet name="Gas" sheetId="5" r:id="rId5"/>
    <sheet name="Power" sheetId="2" r:id="rId6"/>
  </sheets>
  <definedNames>
    <definedName name="ExternalData_1" localSheetId="2" hidden="1">Coal!$A$2:$F$6</definedName>
    <definedName name="ExternalData_1" localSheetId="4" hidden="1">Gas!$A$2:$G$9</definedName>
    <definedName name="ExternalData_1" localSheetId="5" hidden="1">Power!$A$2:$G$10</definedName>
    <definedName name="ExternalData_1" localSheetId="1" hidden="1">Sectors!$A$2:$G$10</definedName>
    <definedName name="ExternalData_2" localSheetId="3" hidden="1">Oil!$A$2:$F$10</definedName>
    <definedName name="ExternalData_2" localSheetId="1" hidden="1">Sectors!$A$13:$F$21</definedName>
    <definedName name="ExternalData_3" localSheetId="1" hidden="1">Sectors!$A$25:$G$32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6" l="1"/>
  <c r="K9" i="6"/>
  <c r="K6" i="6"/>
  <c r="B13" i="2"/>
  <c r="K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6E11BB-683F-4A13-A602-29125AF1FCB4}" keepAlive="1" name="Query - Table013 (Page 4)" description="Connection to the 'Table013 (Page 4)' query in the workbook." type="5" refreshedVersion="8" background="1" saveData="1">
    <dbPr connection="Provider=Microsoft.Mashup.OleDb.1;Data Source=$Workbook$;Location=&quot;Table013 (Page 4)&quot;;Extended Properties=&quot;&quot;" command="SELECT * FROM [Table013 (Page 4)]"/>
  </connection>
  <connection id="2" xr16:uid="{53A036F7-379B-4CD4-9677-50FF6DCD81D4}" keepAlive="1" name="Query - Table013 (Page 4) (2)" description="Connection to the 'Table013 (Page 4) (2)' query in the workbook." type="5" refreshedVersion="8" background="1" saveData="1">
    <dbPr connection="Provider=Microsoft.Mashup.OleDb.1;Data Source=$Workbook$;Location=&quot;Table013 (Page 4) (2)&quot;;Extended Properties=&quot;&quot;" command="SELECT * FROM [Table013 (Page 4) (2)]"/>
  </connection>
  <connection id="3" xr16:uid="{9623B6E1-7162-4060-AF32-351CE59491E2}" keepAlive="1" name="Query - Table038 (Page 9)" description="Connection to the 'Table038 (Page 9)' query in the workbook." type="5" refreshedVersion="8" background="1" saveData="1">
    <dbPr connection="Provider=Microsoft.Mashup.OleDb.1;Data Source=$Workbook$;Location=&quot;Table038 (Page 9)&quot;;Extended Properties=&quot;&quot;" command="SELECT * FROM [Table038 (Page 9)]"/>
  </connection>
  <connection id="4" xr16:uid="{706862C1-2137-4800-AE51-2D95C7956CEE}" keepAlive="1" name="Query - Table038 (Page 9) (2)" description="Connection to the 'Table038 (Page 9) (2)' query in the workbook." type="5" refreshedVersion="8" background="1" saveData="1">
    <dbPr connection="Provider=Microsoft.Mashup.OleDb.1;Data Source=$Workbook$;Location=&quot;Table038 (Page 9) (2)&quot;;Extended Properties=&quot;&quot;" command="SELECT * FROM [Table038 (Page 9) (2)]"/>
  </connection>
  <connection id="5" xr16:uid="{A442AE56-FBD8-4069-910F-ECDFDD194F0E}" keepAlive="1" name="Query - Table043 (Page 11)" description="Connection to the 'Table043 (Page 11)' query in the workbook." type="5" refreshedVersion="8" background="1" saveData="1">
    <dbPr connection="Provider=Microsoft.Mashup.OleDb.1;Data Source=$Workbook$;Location=&quot;Table043 (Page 11)&quot;;Extended Properties=&quot;&quot;" command="SELECT * FROM [Table043 (Page 11)]"/>
  </connection>
  <connection id="6" xr16:uid="{CCF96177-E707-4AD0-9187-75EC4235631B}" keepAlive="1" name="Query - Table043 (Page 11) (2)" description="Connection to the 'Table043 (Page 11) (2)' query in the workbook." type="5" refreshedVersion="8" background="1" saveData="1">
    <dbPr connection="Provider=Microsoft.Mashup.OleDb.1;Data Source=$Workbook$;Location=&quot;Table043 (Page 11) (2)&quot;;Extended Properties=&quot;&quot;" command="SELECT * FROM [Table043 (Page 11) (2)]"/>
  </connection>
  <connection id="7" xr16:uid="{695CE8CF-37F9-4D5A-8566-749E836EF601}" keepAlive="1" name="Query - Table047 (Page 12)" description="Connection to the 'Table047 (Page 12)' query in the workbook." type="5" refreshedVersion="8" background="1" saveData="1">
    <dbPr connection="Provider=Microsoft.Mashup.OleDb.1;Data Source=$Workbook$;Location=&quot;Table047 (Page 12)&quot;;Extended Properties=&quot;&quot;" command="SELECT * FROM [Table047 (Page 12)]"/>
  </connection>
</connections>
</file>

<file path=xl/sharedStrings.xml><?xml version="1.0" encoding="utf-8"?>
<sst xmlns="http://schemas.openxmlformats.org/spreadsheetml/2006/main" count="203" uniqueCount="79">
  <si>
    <t>Column1</t>
  </si>
  <si>
    <t>Column2</t>
  </si>
  <si>
    <t>Column3</t>
  </si>
  <si>
    <t>Column4</t>
  </si>
  <si>
    <t>Column5</t>
  </si>
  <si>
    <t>Column6</t>
  </si>
  <si>
    <t>Column7</t>
  </si>
  <si>
    <t>FY 2024</t>
  </si>
  <si>
    <t>July-March FY 2024</t>
  </si>
  <si>
    <t>July-March FY 2025</t>
  </si>
  <si>
    <t>Source</t>
  </si>
  <si>
    <t>GWh</t>
  </si>
  <si>
    <t>Share (%)</t>
  </si>
  <si>
    <t>Household</t>
  </si>
  <si>
    <t>54,911</t>
  </si>
  <si>
    <t>49.4</t>
  </si>
  <si>
    <t>39,286</t>
  </si>
  <si>
    <t>47.3</t>
  </si>
  <si>
    <t>39,728</t>
  </si>
  <si>
    <t>49.6</t>
  </si>
  <si>
    <t>Commercial</t>
  </si>
  <si>
    <t>9,195</t>
  </si>
  <si>
    <t>8.3</t>
  </si>
  <si>
    <t>6,776</t>
  </si>
  <si>
    <t>8.2</t>
  </si>
  <si>
    <t>6,898</t>
  </si>
  <si>
    <t>8.6</t>
  </si>
  <si>
    <t>Industry</t>
  </si>
  <si>
    <t>27,830</t>
  </si>
  <si>
    <t>25.0</t>
  </si>
  <si>
    <t>22,031</t>
  </si>
  <si>
    <t>26.5</t>
  </si>
  <si>
    <t>21,082</t>
  </si>
  <si>
    <t>26.3</t>
  </si>
  <si>
    <t>Agriculture</t>
  </si>
  <si>
    <t>8,578</t>
  </si>
  <si>
    <t>7.7</t>
  </si>
  <si>
    <t>6,951</t>
  </si>
  <si>
    <t>8.4</t>
  </si>
  <si>
    <t>4,566</t>
  </si>
  <si>
    <t>5.7</t>
  </si>
  <si>
    <t>Others</t>
  </si>
  <si>
    <t>10,596</t>
  </si>
  <si>
    <t>9.5</t>
  </si>
  <si>
    <t>8,065</t>
  </si>
  <si>
    <t>9.7</t>
  </si>
  <si>
    <t>7,837</t>
  </si>
  <si>
    <t>9.8</t>
  </si>
  <si>
    <t>Total</t>
  </si>
  <si>
    <t>111,110</t>
  </si>
  <si>
    <t>100.0</t>
  </si>
  <si>
    <t>83,109</t>
  </si>
  <si>
    <t>80,111</t>
  </si>
  <si>
    <t>Sectoral Share in Electricity Consumption</t>
  </si>
  <si>
    <t>Sector</t>
  </si>
  <si>
    <t>FY 2023</t>
  </si>
  <si>
    <t>Change (%)</t>
  </si>
  <si>
    <t>Domestic</t>
  </si>
  <si>
    <t>Transport</t>
  </si>
  <si>
    <t>Power</t>
  </si>
  <si>
    <t>Government</t>
  </si>
  <si>
    <t>Overseas</t>
  </si>
  <si>
    <t>Sectoral Consumption of Petroleum Products</t>
  </si>
  <si>
    <t>Transport (CNG)</t>
  </si>
  <si>
    <t>Fertilizer</t>
  </si>
  <si>
    <t>General Industry</t>
  </si>
  <si>
    <t xml:space="preserve">Sector-wise Gas Consumption </t>
  </si>
  <si>
    <t>FY 2024
(July-March)</t>
  </si>
  <si>
    <t>FY 2025
(July-March)</t>
  </si>
  <si>
    <t>Share (%)_1</t>
  </si>
  <si>
    <t>Brick Kilns</t>
  </si>
  <si>
    <t>Cement/Others</t>
  </si>
  <si>
    <t xml:space="preserve">Sector-wise Consumption of Coal </t>
  </si>
  <si>
    <t>i_spec</t>
  </si>
  <si>
    <t>rc_spec</t>
  </si>
  <si>
    <t>total rc 2024</t>
  </si>
  <si>
    <t>total rc_spec 2024</t>
  </si>
  <si>
    <t>total i_spec 2024</t>
  </si>
  <si>
    <t>total transport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</si>
</sst>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E5A3469-ECB0-481C-841B-4BDDFF7AB43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B953EA0-63B0-4D59-A91D-95799B7053C8}" autoFormatId="16" applyNumberFormats="0" applyBorderFormats="0" applyFontFormats="0" applyPatternFormats="0" applyAlignmentFormats="0" applyWidthHeightFormats="0">
  <queryTableRefresh nextId="7">
    <queryTableFields count="6">
      <queryTableField id="1" name="Sector" tableColumnId="1"/>
      <queryTableField id="2" name="FY 2023" tableColumnId="2"/>
      <queryTableField id="3" name="FY 2024" tableColumnId="3"/>
      <queryTableField id="4" name="July-March FY 2024" tableColumnId="4"/>
      <queryTableField id="5" name="July-March FY 2025" tableColumnId="5"/>
      <queryTableField id="6" name="Change (%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5329BFB2-48CD-4144-B425-02D0EBEAE98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7682F54-531E-430F-87CE-29502F297707}" autoFormatId="16" applyNumberFormats="0" applyBorderFormats="0" applyFontFormats="0" applyPatternFormats="0" applyAlignmentFormats="0" applyWidthHeightFormats="0">
  <queryTableRefresh nextId="7">
    <queryTableFields count="6">
      <queryTableField id="1" name="Sector" tableColumnId="1"/>
      <queryTableField id="2" name="FY 2024_x000a_(July-March)" tableColumnId="2"/>
      <queryTableField id="3" name="Share (%)" tableColumnId="3"/>
      <queryTableField id="4" name="Column4" tableColumnId="4"/>
      <queryTableField id="5" name="FY 2025_x000a_(July-March)" tableColumnId="5"/>
      <queryTableField id="6" name="Share (%)_1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2CEFC35-26B6-4BB7-8A79-23B8BD293EE5}" autoFormatId="16" applyNumberFormats="0" applyBorderFormats="0" applyFontFormats="0" applyPatternFormats="0" applyAlignmentFormats="0" applyWidthHeightFormats="0">
  <queryTableRefresh nextId="7">
    <queryTableFields count="6">
      <queryTableField id="1" name="Sector" tableColumnId="1"/>
      <queryTableField id="2" name="FY 2023" tableColumnId="2"/>
      <queryTableField id="3" name="FY 2024" tableColumnId="3"/>
      <queryTableField id="4" name="July-March FY 2024" tableColumnId="4"/>
      <queryTableField id="5" name="July-March FY 2025" tableColumnId="5"/>
      <queryTableField id="6" name="Change (%)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65403E2-E13D-4473-8B32-2CDF960FF8F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F81999-4E53-472B-BA75-F914070929C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24B4D8-EAD5-4FDB-A29E-93009D0FB47A}" name="Table013__Page_46" displayName="Table013__Page_46" ref="A2:G10" tableType="queryTable" totalsRowShown="0">
  <autoFilter ref="A2:G10" xr:uid="{2124B4D8-EAD5-4FDB-A29E-93009D0FB47A}"/>
  <tableColumns count="7">
    <tableColumn id="1" xr3:uid="{99DEA63A-FC8A-4C12-B8E9-95F43B7A2CE1}" uniqueName="1" name="Column1" queryTableFieldId="1" dataDxfId="8"/>
    <tableColumn id="2" xr3:uid="{40D3A93C-602E-4936-AD52-36C76C4CB294}" uniqueName="2" name="Column2" queryTableFieldId="2" dataDxfId="7"/>
    <tableColumn id="3" xr3:uid="{1B872FEB-E930-4EE8-93F9-108B958CF768}" uniqueName="3" name="Column3" queryTableFieldId="3" dataDxfId="6"/>
    <tableColumn id="4" xr3:uid="{A2FE059E-B9A7-4331-AD1D-D8214C4BE842}" uniqueName="4" name="Column4" queryTableFieldId="4" dataDxfId="5"/>
    <tableColumn id="5" xr3:uid="{4CF433D6-9831-482D-8B4A-0BBBAC0A75DC}" uniqueName="5" name="Column5" queryTableFieldId="5" dataDxfId="4"/>
    <tableColumn id="6" xr3:uid="{B7D1A001-749D-4BBF-96DA-899F6BD7C394}" uniqueName="6" name="Column6" queryTableFieldId="6" dataDxfId="3"/>
    <tableColumn id="7" xr3:uid="{2D70E352-6387-4272-8500-19A8352B5AB2}" uniqueName="7" name="Column7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BC5A09-AEFD-4B2E-99D1-5EC3F80DD142}" name="Table038__Page_97" displayName="Table038__Page_97" ref="A13:F21" tableType="queryTable" totalsRowShown="0">
  <autoFilter ref="A13:F21" xr:uid="{81BC5A09-AEFD-4B2E-99D1-5EC3F80DD142}"/>
  <tableColumns count="6">
    <tableColumn id="1" xr3:uid="{02B48026-C126-45E5-AE38-DA7375784423}" uniqueName="1" name="Sector" queryTableFieldId="1" dataDxfId="1"/>
    <tableColumn id="2" xr3:uid="{6F2DAED2-12BE-4B10-8914-4D7AB472E2C0}" uniqueName="2" name="FY 2023" queryTableFieldId="2"/>
    <tableColumn id="3" xr3:uid="{D4DC3849-D3B5-4556-AADE-F439ABD6DF59}" uniqueName="3" name="FY 2024" queryTableFieldId="3"/>
    <tableColumn id="4" xr3:uid="{378CA369-95AA-4365-8FE4-2779648AFA7A}" uniqueName="4" name="July-March FY 2024" queryTableFieldId="4"/>
    <tableColumn id="5" xr3:uid="{329FBCFF-A8A1-42EF-B009-7D0CDC117A60}" uniqueName="5" name="July-March FY 2025" queryTableFieldId="5"/>
    <tableColumn id="6" xr3:uid="{9ECC03DB-A8A3-467E-AA50-E69DDB1BE1AF}" uniqueName="6" name="Change (%)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4AE205-138F-4D39-8A58-2871322890EE}" name="Table043__Page_118" displayName="Table043__Page_118" ref="A25:G32" tableType="queryTable" totalsRowShown="0">
  <autoFilter ref="A25:G32" xr:uid="{F04AE205-138F-4D39-8A58-2871322890EE}"/>
  <tableColumns count="7">
    <tableColumn id="1" xr3:uid="{C9283982-A2E5-4C70-AD2A-81DC755D2290}" uniqueName="1" name="Column1" queryTableFieldId="1" dataDxfId="0"/>
    <tableColumn id="2" xr3:uid="{BC0965F4-F400-4074-966C-03284FE7851C}" uniqueName="2" name="Column2" queryTableFieldId="2"/>
    <tableColumn id="3" xr3:uid="{268BFAB8-516D-4D26-A008-288E31FE7BE5}" uniqueName="3" name="Column3" queryTableFieldId="3"/>
    <tableColumn id="4" xr3:uid="{69678438-4FB4-45D4-82A9-060E1FF83C75}" uniqueName="4" name="Column4" queryTableFieldId="4"/>
    <tableColumn id="5" xr3:uid="{595D96A9-AD06-4B34-945B-E1202ABCCEB5}" uniqueName="5" name="Column5" queryTableFieldId="5"/>
    <tableColumn id="6" xr3:uid="{E7BCACD6-8BB8-40A1-B53A-B8FE7B7B4D4E}" uniqueName="6" name="Column6" queryTableFieldId="6"/>
    <tableColumn id="7" xr3:uid="{778F2F07-6AAD-41B3-921A-7281A48A1CCA}" uniqueName="7" name="Column7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D3CB71-649A-4207-9B9F-393EF055E8F4}" name="Table047__Page_12" displayName="Table047__Page_12" ref="A2:F6" tableType="queryTable" totalsRowShown="0">
  <autoFilter ref="A2:F6" xr:uid="{D1D3CB71-649A-4207-9B9F-393EF055E8F4}"/>
  <tableColumns count="6">
    <tableColumn id="1" xr3:uid="{C560815A-4104-4B17-990A-760250020028}" uniqueName="1" name="Sector" queryTableFieldId="1" dataDxfId="17"/>
    <tableColumn id="2" xr3:uid="{54936BF8-B90D-4649-8304-A65CDCED5B5A}" uniqueName="2" name="FY 2024_x000a_(July-March)" queryTableFieldId="2"/>
    <tableColumn id="3" xr3:uid="{32541343-B6A8-4BBD-974B-0840051F6A70}" uniqueName="3" name="Share (%)" queryTableFieldId="3" dataDxfId="16"/>
    <tableColumn id="4" xr3:uid="{E0CA15E9-2639-463A-9518-CCE8A23A7A95}" uniqueName="4" name="Column4" queryTableFieldId="4"/>
    <tableColumn id="5" xr3:uid="{62B359BB-91E8-4D30-B450-9DDE11408D86}" uniqueName="5" name="FY 2025_x000a_(July-March)" queryTableFieldId="5"/>
    <tableColumn id="6" xr3:uid="{6D651B56-3D88-4307-A1E2-9388849C3DA6}" uniqueName="6" name="Share (%)_1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4014D-2DE3-4AE5-BF83-1F7A0120DEF6}" name="Table038__Page_9" displayName="Table038__Page_9" ref="A2:F10" tableType="queryTable" totalsRowShown="0">
  <autoFilter ref="A2:F10" xr:uid="{1374014D-2DE3-4AE5-BF83-1F7A0120DEF6}"/>
  <tableColumns count="6">
    <tableColumn id="1" xr3:uid="{129E7143-45D5-4712-9CE1-918194833258}" uniqueName="1" name="Sector" queryTableFieldId="1" dataDxfId="19"/>
    <tableColumn id="2" xr3:uid="{70369077-FDEC-4FD7-A740-5AA22698D727}" uniqueName="2" name="FY 2023" queryTableFieldId="2"/>
    <tableColumn id="3" xr3:uid="{7D41EC32-EFF2-474D-A320-1E341A0EBDCF}" uniqueName="3" name="FY 2024" queryTableFieldId="3"/>
    <tableColumn id="4" xr3:uid="{D6B058FF-FD99-45AC-BC9A-B2AE7113228A}" uniqueName="4" name="July-March FY 2024" queryTableFieldId="4"/>
    <tableColumn id="5" xr3:uid="{759AAA7A-FFA4-444F-8264-663DCE665BC0}" uniqueName="5" name="July-March FY 2025" queryTableFieldId="5"/>
    <tableColumn id="6" xr3:uid="{6A65A00D-248F-4666-AAF6-89718F424CC9}" uniqueName="6" name="Change (%)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FDC8D9-4C51-41A1-9E2C-8E7CB9814AD3}" name="Table043__Page_11" displayName="Table043__Page_11" ref="A2:G9" tableType="queryTable" totalsRowShown="0">
  <autoFilter ref="A2:G9" xr:uid="{2BFDC8D9-4C51-41A1-9E2C-8E7CB9814AD3}"/>
  <tableColumns count="7">
    <tableColumn id="1" xr3:uid="{D4D3B211-E526-451A-9391-FFBD480772CE}" uniqueName="1" name="Column1" queryTableFieldId="1" dataDxfId="18"/>
    <tableColumn id="2" xr3:uid="{E66C9362-5C2F-4CD2-AD96-42E6C29801D4}" uniqueName="2" name="Column2" queryTableFieldId="2"/>
    <tableColumn id="3" xr3:uid="{44D5C5F0-1201-4F4E-A789-FD7681538D6A}" uniqueName="3" name="Column3" queryTableFieldId="3"/>
    <tableColumn id="4" xr3:uid="{55610E1D-5EBB-46A2-AEE0-523CFF095C59}" uniqueName="4" name="Column4" queryTableFieldId="4"/>
    <tableColumn id="5" xr3:uid="{EBCBB122-D63F-46EC-B725-5BD6E3195EF1}" uniqueName="5" name="Column5" queryTableFieldId="5"/>
    <tableColumn id="6" xr3:uid="{A59BB10E-20FD-4EBF-9159-5C2793EE489F}" uniqueName="6" name="Column6" queryTableFieldId="6"/>
    <tableColumn id="7" xr3:uid="{1A6FD27D-7581-4BF7-956B-2E56DC396F79}" uniqueName="7" name="Column7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47F3E-E466-4AE4-B321-F21BC836C87A}" name="Table013__Page_4" displayName="Table013__Page_4" ref="A2:G10" tableType="queryTable" totalsRowShown="0">
  <autoFilter ref="A2:G10" xr:uid="{9CF47F3E-E466-4AE4-B321-F21BC836C87A}"/>
  <tableColumns count="7">
    <tableColumn id="1" xr3:uid="{1FE51F28-3668-45E3-BD33-DFDBD3780D1C}" uniqueName="1" name="Column1" queryTableFieldId="1" dataDxfId="15"/>
    <tableColumn id="2" xr3:uid="{0DDE6BD6-96C9-4EE3-BF64-5C25AF21F3EF}" uniqueName="2" name="Column2" queryTableFieldId="2" dataDxfId="14"/>
    <tableColumn id="3" xr3:uid="{FE00F6C8-B4B2-4D65-A490-D7A3BAFE3659}" uniqueName="3" name="Column3" queryTableFieldId="3" dataDxfId="13"/>
    <tableColumn id="4" xr3:uid="{79484C64-9372-4F4F-832D-4BFCADCDFBDE}" uniqueName="4" name="Column4" queryTableFieldId="4" dataDxfId="12"/>
    <tableColumn id="5" xr3:uid="{87C486D6-2A49-4661-A4AD-FF444EDF3508}" uniqueName="5" name="Column5" queryTableFieldId="5" dataDxfId="11"/>
    <tableColumn id="6" xr3:uid="{01F6CA0E-79B0-496D-8E99-430C9F65753D}" uniqueName="6" name="Column6" queryTableFieldId="6" dataDxfId="10"/>
    <tableColumn id="7" xr3:uid="{E1B0B601-014C-4EEE-A0FD-B5AD6BF3B7F1}" uniqueName="7" name="Column7" queryTableFieldId="7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2EF0-830D-425A-8423-D4B22FE91B5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61F2-A105-41D4-B241-E5EB3274583B}">
  <dimension ref="A1:K32"/>
  <sheetViews>
    <sheetView tabSelected="1" workbookViewId="0">
      <selection activeCell="G7" sqref="G7"/>
    </sheetView>
  </sheetViews>
  <sheetFormatPr defaultRowHeight="14.25" x14ac:dyDescent="0.45"/>
  <sheetData>
    <row r="1" spans="1:11" x14ac:dyDescent="0.45">
      <c r="A1" s="3" t="s">
        <v>53</v>
      </c>
      <c r="B1" s="2"/>
      <c r="C1" s="2"/>
      <c r="D1" s="2"/>
      <c r="E1" s="2"/>
      <c r="F1" s="2"/>
      <c r="G1" s="2"/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1" x14ac:dyDescent="0.45">
      <c r="A3" s="1"/>
      <c r="B3" s="1" t="s">
        <v>7</v>
      </c>
      <c r="C3" s="1"/>
      <c r="D3" s="1" t="s">
        <v>8</v>
      </c>
      <c r="E3" s="1"/>
      <c r="F3" s="1"/>
      <c r="G3" s="1" t="s">
        <v>9</v>
      </c>
    </row>
    <row r="4" spans="1:11" x14ac:dyDescent="0.45">
      <c r="A4" s="1" t="s">
        <v>10</v>
      </c>
      <c r="B4" s="1" t="s">
        <v>11</v>
      </c>
      <c r="C4" s="1" t="s">
        <v>12</v>
      </c>
      <c r="D4" s="1" t="s">
        <v>11</v>
      </c>
      <c r="E4" s="1" t="s">
        <v>12</v>
      </c>
      <c r="F4" s="1" t="s">
        <v>11</v>
      </c>
      <c r="G4" s="1" t="s">
        <v>12</v>
      </c>
    </row>
    <row r="5" spans="1:11" x14ac:dyDescent="0.4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t="s">
        <v>74</v>
      </c>
      <c r="K5" t="s">
        <v>76</v>
      </c>
    </row>
    <row r="6" spans="1:11" x14ac:dyDescent="0.4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t="s">
        <v>74</v>
      </c>
      <c r="K6">
        <f>(B5+B6+B8)/8760</f>
        <v>8.2972602739726025</v>
      </c>
    </row>
    <row r="7" spans="1:11" x14ac:dyDescent="0.4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t="s">
        <v>73</v>
      </c>
    </row>
    <row r="8" spans="1:11" x14ac:dyDescent="0.4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t="s">
        <v>74</v>
      </c>
      <c r="K8" t="s">
        <v>77</v>
      </c>
    </row>
    <row r="9" spans="1:11" x14ac:dyDescent="0.4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K9">
        <f>B7/8760</f>
        <v>3.1769406392694064</v>
      </c>
    </row>
    <row r="10" spans="1:11" x14ac:dyDescent="0.4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50</v>
      </c>
      <c r="F10" s="1" t="s">
        <v>52</v>
      </c>
      <c r="G10" s="1" t="s">
        <v>50</v>
      </c>
    </row>
    <row r="11" spans="1:11" x14ac:dyDescent="0.45">
      <c r="K11" t="s">
        <v>78</v>
      </c>
    </row>
    <row r="12" spans="1:11" x14ac:dyDescent="0.45">
      <c r="A12" s="3" t="s">
        <v>62</v>
      </c>
      <c r="B12" s="2"/>
      <c r="C12" s="2"/>
      <c r="D12" s="2"/>
      <c r="E12" s="2"/>
      <c r="F12" s="2"/>
      <c r="K12">
        <f>(C17* 1000 * 42 * 1000000000 / 31536000000000000)+(D29* 1000 * 48 * 1000000000 / 31536000000000000)</f>
        <v>17.715412861491629</v>
      </c>
    </row>
    <row r="13" spans="1:11" x14ac:dyDescent="0.45">
      <c r="A13" t="s">
        <v>54</v>
      </c>
      <c r="B13" t="s">
        <v>55</v>
      </c>
      <c r="C13" t="s">
        <v>7</v>
      </c>
      <c r="D13" t="s">
        <v>8</v>
      </c>
      <c r="E13" t="s">
        <v>9</v>
      </c>
      <c r="F13" t="s">
        <v>56</v>
      </c>
    </row>
    <row r="14" spans="1:11" x14ac:dyDescent="0.45">
      <c r="A14" s="1" t="s">
        <v>57</v>
      </c>
      <c r="B14">
        <v>17.95</v>
      </c>
      <c r="C14">
        <v>24.66</v>
      </c>
      <c r="D14">
        <v>18.8</v>
      </c>
      <c r="E14">
        <v>20.18</v>
      </c>
      <c r="F14">
        <v>7.34</v>
      </c>
    </row>
    <row r="15" spans="1:11" x14ac:dyDescent="0.45">
      <c r="A15" s="1" t="s">
        <v>27</v>
      </c>
      <c r="B15">
        <v>1126.8499999999999</v>
      </c>
      <c r="C15">
        <v>1076.72</v>
      </c>
      <c r="D15">
        <v>815.32</v>
      </c>
      <c r="E15">
        <v>755.4</v>
      </c>
      <c r="F15">
        <v>-7.35</v>
      </c>
    </row>
    <row r="16" spans="1:11" x14ac:dyDescent="0.45">
      <c r="A16" s="1" t="s">
        <v>34</v>
      </c>
      <c r="B16">
        <v>9.2100000000000009</v>
      </c>
      <c r="C16">
        <v>14.51</v>
      </c>
      <c r="D16">
        <v>10.16</v>
      </c>
      <c r="E16">
        <v>9.82</v>
      </c>
      <c r="F16">
        <v>-3.35</v>
      </c>
    </row>
    <row r="17" spans="1:7" x14ac:dyDescent="0.45">
      <c r="A17" s="1" t="s">
        <v>58</v>
      </c>
      <c r="B17">
        <v>13606.63</v>
      </c>
      <c r="C17">
        <v>13232.03</v>
      </c>
      <c r="D17">
        <v>9764.5499999999993</v>
      </c>
      <c r="E17">
        <v>10544.3</v>
      </c>
      <c r="F17">
        <v>7.99</v>
      </c>
    </row>
    <row r="18" spans="1:7" x14ac:dyDescent="0.45">
      <c r="A18" s="1" t="s">
        <v>59</v>
      </c>
      <c r="B18">
        <v>1668.15</v>
      </c>
      <c r="C18">
        <v>607.1</v>
      </c>
      <c r="D18">
        <v>520.70000000000005</v>
      </c>
      <c r="E18">
        <v>116.21</v>
      </c>
      <c r="F18">
        <v>-77.680000000000007</v>
      </c>
    </row>
    <row r="19" spans="1:7" x14ac:dyDescent="0.45">
      <c r="A19" s="1" t="s">
        <v>60</v>
      </c>
      <c r="B19">
        <v>365.09</v>
      </c>
      <c r="C19">
        <v>312.89</v>
      </c>
      <c r="D19">
        <v>224.7</v>
      </c>
      <c r="E19">
        <v>232.05</v>
      </c>
      <c r="F19">
        <v>3.27</v>
      </c>
    </row>
    <row r="20" spans="1:7" x14ac:dyDescent="0.45">
      <c r="A20" s="1" t="s">
        <v>61</v>
      </c>
      <c r="B20">
        <v>696.85</v>
      </c>
      <c r="C20">
        <v>1420.65</v>
      </c>
      <c r="D20">
        <v>948.03</v>
      </c>
      <c r="E20">
        <v>1490.11</v>
      </c>
      <c r="F20">
        <v>57.18</v>
      </c>
    </row>
    <row r="21" spans="1:7" x14ac:dyDescent="0.45">
      <c r="A21" s="1" t="s">
        <v>48</v>
      </c>
      <c r="B21">
        <v>17490.73</v>
      </c>
      <c r="C21">
        <v>16688.560000000001</v>
      </c>
      <c r="D21">
        <v>12302.25</v>
      </c>
      <c r="E21">
        <v>13168.07</v>
      </c>
      <c r="F21">
        <v>7.04</v>
      </c>
    </row>
    <row r="24" spans="1:7" x14ac:dyDescent="0.45">
      <c r="A24" s="3" t="s">
        <v>66</v>
      </c>
      <c r="B24" s="3"/>
      <c r="C24" s="3"/>
      <c r="D24" s="3"/>
      <c r="E24" s="3"/>
      <c r="F24" s="3"/>
      <c r="G24" s="3"/>
    </row>
    <row r="25" spans="1:7" x14ac:dyDescent="0.4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</row>
    <row r="26" spans="1:7" x14ac:dyDescent="0.45">
      <c r="A26" s="1" t="s">
        <v>59</v>
      </c>
      <c r="B26">
        <v>461</v>
      </c>
      <c r="C26">
        <v>433</v>
      </c>
      <c r="D26">
        <v>894</v>
      </c>
      <c r="E26">
        <v>477</v>
      </c>
      <c r="F26">
        <v>496</v>
      </c>
      <c r="G26">
        <v>973</v>
      </c>
    </row>
    <row r="27" spans="1:7" x14ac:dyDescent="0.45">
      <c r="A27" s="1" t="s">
        <v>57</v>
      </c>
      <c r="B27">
        <v>863</v>
      </c>
      <c r="C27">
        <v>1</v>
      </c>
      <c r="D27">
        <v>864</v>
      </c>
      <c r="E27">
        <v>776</v>
      </c>
      <c r="F27">
        <v>1</v>
      </c>
      <c r="G27">
        <v>777</v>
      </c>
    </row>
    <row r="28" spans="1:7" x14ac:dyDescent="0.45">
      <c r="A28" s="1" t="s">
        <v>20</v>
      </c>
      <c r="B28">
        <v>43</v>
      </c>
      <c r="C28">
        <v>6</v>
      </c>
      <c r="D28">
        <v>49</v>
      </c>
      <c r="E28">
        <v>33</v>
      </c>
      <c r="F28">
        <v>5</v>
      </c>
      <c r="G28">
        <v>38</v>
      </c>
    </row>
    <row r="29" spans="1:7" x14ac:dyDescent="0.45">
      <c r="A29" s="1" t="s">
        <v>63</v>
      </c>
      <c r="B29">
        <v>58</v>
      </c>
      <c r="C29">
        <v>3</v>
      </c>
      <c r="D29">
        <v>61</v>
      </c>
      <c r="E29">
        <v>47</v>
      </c>
      <c r="F29">
        <v>8</v>
      </c>
      <c r="G29">
        <v>55</v>
      </c>
    </row>
    <row r="30" spans="1:7" x14ac:dyDescent="0.45">
      <c r="A30" s="1" t="s">
        <v>64</v>
      </c>
      <c r="B30">
        <v>721</v>
      </c>
      <c r="C30">
        <v>43</v>
      </c>
      <c r="D30">
        <v>764</v>
      </c>
      <c r="E30">
        <v>690</v>
      </c>
      <c r="F30">
        <v>74</v>
      </c>
      <c r="G30">
        <v>764</v>
      </c>
    </row>
    <row r="31" spans="1:7" x14ac:dyDescent="0.45">
      <c r="A31" s="1" t="s">
        <v>65</v>
      </c>
      <c r="B31">
        <v>366</v>
      </c>
      <c r="C31">
        <v>209</v>
      </c>
      <c r="D31">
        <v>575</v>
      </c>
      <c r="E31">
        <v>322</v>
      </c>
      <c r="F31">
        <v>214</v>
      </c>
      <c r="G31">
        <v>536</v>
      </c>
    </row>
    <row r="32" spans="1:7" x14ac:dyDescent="0.45">
      <c r="A32" s="1" t="s">
        <v>48</v>
      </c>
      <c r="B32">
        <v>2512</v>
      </c>
      <c r="C32">
        <v>695</v>
      </c>
      <c r="D32">
        <v>3207</v>
      </c>
      <c r="E32">
        <v>2345</v>
      </c>
      <c r="F32">
        <v>798</v>
      </c>
      <c r="G32">
        <v>3143</v>
      </c>
    </row>
  </sheetData>
  <mergeCells count="3">
    <mergeCell ref="A1:G1"/>
    <mergeCell ref="A12:F12"/>
    <mergeCell ref="A24:G2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0C9D-AC52-4A5C-9B8D-4365F45E9E9C}">
  <dimension ref="A1:F6"/>
  <sheetViews>
    <sheetView workbookViewId="0">
      <selection activeCell="D20" sqref="D20"/>
    </sheetView>
  </sheetViews>
  <sheetFormatPr defaultRowHeight="14.25" x14ac:dyDescent="0.45"/>
  <cols>
    <col min="1" max="1" width="12.86328125" bestFit="1" customWidth="1"/>
    <col min="2" max="2" width="19.9296875" bestFit="1" customWidth="1"/>
    <col min="3" max="3" width="10.59765625" bestFit="1" customWidth="1"/>
    <col min="4" max="4" width="10.19921875" bestFit="1" customWidth="1"/>
    <col min="5" max="5" width="19.9296875" bestFit="1" customWidth="1"/>
    <col min="6" max="6" width="12.3984375" bestFit="1" customWidth="1"/>
  </cols>
  <sheetData>
    <row r="1" spans="1:6" x14ac:dyDescent="0.45">
      <c r="A1" s="3" t="s">
        <v>72</v>
      </c>
      <c r="B1" s="3"/>
      <c r="C1" s="3"/>
      <c r="D1" s="3"/>
      <c r="E1" s="3"/>
      <c r="F1" s="3"/>
    </row>
    <row r="2" spans="1:6" x14ac:dyDescent="0.45">
      <c r="A2" t="s">
        <v>54</v>
      </c>
      <c r="B2" t="s">
        <v>67</v>
      </c>
      <c r="C2" t="s">
        <v>12</v>
      </c>
      <c r="D2" t="s">
        <v>3</v>
      </c>
      <c r="E2" t="s">
        <v>68</v>
      </c>
      <c r="F2" t="s">
        <v>69</v>
      </c>
    </row>
    <row r="3" spans="1:6" x14ac:dyDescent="0.45">
      <c r="A3" s="1" t="s">
        <v>59</v>
      </c>
      <c r="B3">
        <v>11906.7</v>
      </c>
      <c r="C3" s="1"/>
      <c r="D3">
        <v>68.900000000000006</v>
      </c>
      <c r="E3">
        <v>11278.7</v>
      </c>
      <c r="F3">
        <v>69.7</v>
      </c>
    </row>
    <row r="4" spans="1:6" x14ac:dyDescent="0.45">
      <c r="A4" s="1" t="s">
        <v>70</v>
      </c>
      <c r="B4">
        <v>1072.3</v>
      </c>
      <c r="C4" s="1"/>
      <c r="D4">
        <v>6.2</v>
      </c>
      <c r="E4">
        <v>2292.3000000000002</v>
      </c>
      <c r="F4">
        <v>14.2</v>
      </c>
    </row>
    <row r="5" spans="1:6" x14ac:dyDescent="0.45">
      <c r="A5" s="1" t="s">
        <v>71</v>
      </c>
      <c r="B5">
        <v>4300</v>
      </c>
      <c r="C5" s="1"/>
      <c r="D5">
        <v>24.9</v>
      </c>
      <c r="E5">
        <v>2600</v>
      </c>
      <c r="F5">
        <v>16.100000000000001</v>
      </c>
    </row>
    <row r="6" spans="1:6" x14ac:dyDescent="0.45">
      <c r="A6" s="1" t="s">
        <v>48</v>
      </c>
      <c r="B6">
        <v>17279</v>
      </c>
      <c r="C6" s="1"/>
      <c r="E6">
        <v>16171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A980-967A-4C27-95CD-61068A0593E0}">
  <dimension ref="A1:F10"/>
  <sheetViews>
    <sheetView workbookViewId="0">
      <selection activeCell="A6" sqref="A6:XFD6"/>
    </sheetView>
  </sheetViews>
  <sheetFormatPr defaultRowHeight="14.25" x14ac:dyDescent="0.45"/>
  <cols>
    <col min="1" max="1" width="10.3984375" bestFit="1" customWidth="1"/>
    <col min="2" max="3" width="9.19921875" bestFit="1" customWidth="1"/>
    <col min="4" max="5" width="18.19921875" bestFit="1" customWidth="1"/>
    <col min="6" max="6" width="11.9296875" bestFit="1" customWidth="1"/>
  </cols>
  <sheetData>
    <row r="1" spans="1:6" x14ac:dyDescent="0.45">
      <c r="A1" s="3" t="s">
        <v>62</v>
      </c>
      <c r="B1" s="2"/>
      <c r="C1" s="2"/>
      <c r="D1" s="2"/>
      <c r="E1" s="2"/>
      <c r="F1" s="2"/>
    </row>
    <row r="2" spans="1:6" x14ac:dyDescent="0.45">
      <c r="A2" t="s">
        <v>54</v>
      </c>
      <c r="B2" t="s">
        <v>55</v>
      </c>
      <c r="C2" t="s">
        <v>7</v>
      </c>
      <c r="D2" t="s">
        <v>8</v>
      </c>
      <c r="E2" t="s">
        <v>9</v>
      </c>
      <c r="F2" t="s">
        <v>56</v>
      </c>
    </row>
    <row r="3" spans="1:6" x14ac:dyDescent="0.45">
      <c r="A3" s="1" t="s">
        <v>57</v>
      </c>
      <c r="B3">
        <v>17.95</v>
      </c>
      <c r="C3">
        <v>24.66</v>
      </c>
      <c r="D3">
        <v>18.8</v>
      </c>
      <c r="E3">
        <v>20.18</v>
      </c>
      <c r="F3">
        <v>7.34</v>
      </c>
    </row>
    <row r="4" spans="1:6" x14ac:dyDescent="0.45">
      <c r="A4" s="1" t="s">
        <v>27</v>
      </c>
      <c r="B4">
        <v>1126.8499999999999</v>
      </c>
      <c r="C4">
        <v>1076.72</v>
      </c>
      <c r="D4">
        <v>815.32</v>
      </c>
      <c r="E4">
        <v>755.4</v>
      </c>
      <c r="F4">
        <v>-7.35</v>
      </c>
    </row>
    <row r="5" spans="1:6" x14ac:dyDescent="0.45">
      <c r="A5" s="1" t="s">
        <v>34</v>
      </c>
      <c r="B5">
        <v>9.2100000000000009</v>
      </c>
      <c r="C5">
        <v>14.51</v>
      </c>
      <c r="D5">
        <v>10.16</v>
      </c>
      <c r="E5">
        <v>9.82</v>
      </c>
      <c r="F5">
        <v>-3.35</v>
      </c>
    </row>
    <row r="6" spans="1:6" x14ac:dyDescent="0.45">
      <c r="A6" s="1" t="s">
        <v>58</v>
      </c>
      <c r="B6">
        <v>13606.63</v>
      </c>
      <c r="C6">
        <v>13232.03</v>
      </c>
      <c r="D6">
        <v>9764.5499999999993</v>
      </c>
      <c r="E6">
        <v>10544.3</v>
      </c>
      <c r="F6">
        <v>7.99</v>
      </c>
    </row>
    <row r="7" spans="1:6" x14ac:dyDescent="0.45">
      <c r="A7" s="1" t="s">
        <v>59</v>
      </c>
      <c r="B7">
        <v>1668.15</v>
      </c>
      <c r="C7">
        <v>607.1</v>
      </c>
      <c r="D7">
        <v>520.70000000000005</v>
      </c>
      <c r="E7">
        <v>116.21</v>
      </c>
      <c r="F7">
        <v>-77.680000000000007</v>
      </c>
    </row>
    <row r="8" spans="1:6" x14ac:dyDescent="0.45">
      <c r="A8" s="1" t="s">
        <v>60</v>
      </c>
      <c r="B8">
        <v>365.09</v>
      </c>
      <c r="C8">
        <v>312.89</v>
      </c>
      <c r="D8">
        <v>224.7</v>
      </c>
      <c r="E8">
        <v>232.05</v>
      </c>
      <c r="F8">
        <v>3.27</v>
      </c>
    </row>
    <row r="9" spans="1:6" x14ac:dyDescent="0.45">
      <c r="A9" s="1" t="s">
        <v>61</v>
      </c>
      <c r="B9">
        <v>696.85</v>
      </c>
      <c r="C9">
        <v>1420.65</v>
      </c>
      <c r="D9">
        <v>948.03</v>
      </c>
      <c r="E9">
        <v>1490.11</v>
      </c>
      <c r="F9">
        <v>57.18</v>
      </c>
    </row>
    <row r="10" spans="1:6" x14ac:dyDescent="0.45">
      <c r="A10" s="1" t="s">
        <v>48</v>
      </c>
      <c r="B10">
        <v>17490.73</v>
      </c>
      <c r="C10">
        <v>16688.560000000001</v>
      </c>
      <c r="D10">
        <v>12302.25</v>
      </c>
      <c r="E10">
        <v>13168.07</v>
      </c>
      <c r="F10">
        <v>7.04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1661-AE6F-412F-A075-AA19688870EB}">
  <dimension ref="A1:G9"/>
  <sheetViews>
    <sheetView workbookViewId="0">
      <selection activeCell="D6" sqref="D6"/>
    </sheetView>
  </sheetViews>
  <sheetFormatPr defaultRowHeight="14.25" x14ac:dyDescent="0.45"/>
  <cols>
    <col min="1" max="1" width="13.59765625" bestFit="1" customWidth="1"/>
    <col min="2" max="7" width="10.19921875" bestFit="1" customWidth="1"/>
  </cols>
  <sheetData>
    <row r="1" spans="1:7" x14ac:dyDescent="0.45">
      <c r="A1" s="3" t="s">
        <v>66</v>
      </c>
      <c r="B1" s="3"/>
      <c r="C1" s="3"/>
      <c r="D1" s="3"/>
      <c r="E1" s="3"/>
      <c r="F1" s="3"/>
      <c r="G1" s="3"/>
    </row>
    <row r="2" spans="1:7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45">
      <c r="A3" s="1" t="s">
        <v>59</v>
      </c>
      <c r="B3">
        <v>461</v>
      </c>
      <c r="C3">
        <v>433</v>
      </c>
      <c r="D3">
        <v>894</v>
      </c>
      <c r="E3">
        <v>477</v>
      </c>
      <c r="F3">
        <v>496</v>
      </c>
      <c r="G3">
        <v>973</v>
      </c>
    </row>
    <row r="4" spans="1:7" x14ac:dyDescent="0.45">
      <c r="A4" s="1" t="s">
        <v>57</v>
      </c>
      <c r="B4">
        <v>863</v>
      </c>
      <c r="C4">
        <v>1</v>
      </c>
      <c r="D4">
        <v>864</v>
      </c>
      <c r="E4">
        <v>776</v>
      </c>
      <c r="F4">
        <v>1</v>
      </c>
      <c r="G4">
        <v>777</v>
      </c>
    </row>
    <row r="5" spans="1:7" x14ac:dyDescent="0.45">
      <c r="A5" s="1" t="s">
        <v>20</v>
      </c>
      <c r="B5">
        <v>43</v>
      </c>
      <c r="C5">
        <v>6</v>
      </c>
      <c r="D5">
        <v>49</v>
      </c>
      <c r="E5">
        <v>33</v>
      </c>
      <c r="F5">
        <v>5</v>
      </c>
      <c r="G5">
        <v>38</v>
      </c>
    </row>
    <row r="6" spans="1:7" x14ac:dyDescent="0.45">
      <c r="A6" s="1" t="s">
        <v>63</v>
      </c>
      <c r="B6">
        <v>58</v>
      </c>
      <c r="C6">
        <v>3</v>
      </c>
      <c r="D6">
        <v>61</v>
      </c>
      <c r="E6">
        <v>47</v>
      </c>
      <c r="F6">
        <v>8</v>
      </c>
      <c r="G6">
        <v>55</v>
      </c>
    </row>
    <row r="7" spans="1:7" x14ac:dyDescent="0.45">
      <c r="A7" s="1" t="s">
        <v>64</v>
      </c>
      <c r="B7">
        <v>721</v>
      </c>
      <c r="C7">
        <v>43</v>
      </c>
      <c r="D7">
        <v>764</v>
      </c>
      <c r="E7">
        <v>690</v>
      </c>
      <c r="F7">
        <v>74</v>
      </c>
      <c r="G7">
        <v>764</v>
      </c>
    </row>
    <row r="8" spans="1:7" x14ac:dyDescent="0.45">
      <c r="A8" s="1" t="s">
        <v>65</v>
      </c>
      <c r="B8">
        <v>366</v>
      </c>
      <c r="C8">
        <v>209</v>
      </c>
      <c r="D8">
        <v>575</v>
      </c>
      <c r="E8">
        <v>322</v>
      </c>
      <c r="F8">
        <v>214</v>
      </c>
      <c r="G8">
        <v>536</v>
      </c>
    </row>
    <row r="9" spans="1:7" x14ac:dyDescent="0.45">
      <c r="A9" s="1" t="s">
        <v>48</v>
      </c>
      <c r="B9">
        <v>2512</v>
      </c>
      <c r="C9">
        <v>695</v>
      </c>
      <c r="D9">
        <v>3207</v>
      </c>
      <c r="E9">
        <v>2345</v>
      </c>
      <c r="F9">
        <v>798</v>
      </c>
      <c r="G9">
        <v>3143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1033-3AE1-4CE8-8030-1D930B58D1AA}">
  <dimension ref="A1:K15"/>
  <sheetViews>
    <sheetView workbookViewId="0">
      <selection sqref="A1:K10"/>
    </sheetView>
  </sheetViews>
  <sheetFormatPr defaultRowHeight="14.25" x14ac:dyDescent="0.45"/>
  <cols>
    <col min="1" max="1" width="10.33203125" bestFit="1" customWidth="1"/>
    <col min="2" max="3" width="10.19921875" bestFit="1" customWidth="1"/>
    <col min="4" max="4" width="15.6640625" bestFit="1" customWidth="1"/>
    <col min="5" max="6" width="10.19921875" bestFit="1" customWidth="1"/>
    <col min="7" max="7" width="15.6640625" bestFit="1" customWidth="1"/>
  </cols>
  <sheetData>
    <row r="1" spans="1:11" x14ac:dyDescent="0.45">
      <c r="A1" s="3" t="s">
        <v>53</v>
      </c>
      <c r="B1" s="2"/>
      <c r="C1" s="2"/>
      <c r="D1" s="2"/>
      <c r="E1" s="2"/>
      <c r="F1" s="2"/>
      <c r="G1" s="2"/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1" x14ac:dyDescent="0.45">
      <c r="A3" s="1"/>
      <c r="B3" s="1" t="s">
        <v>7</v>
      </c>
      <c r="C3" s="1"/>
      <c r="D3" s="1" t="s">
        <v>8</v>
      </c>
      <c r="E3" s="1"/>
      <c r="F3" s="1"/>
      <c r="G3" s="1" t="s">
        <v>9</v>
      </c>
    </row>
    <row r="4" spans="1:11" x14ac:dyDescent="0.45">
      <c r="A4" s="1" t="s">
        <v>10</v>
      </c>
      <c r="B4" s="1" t="s">
        <v>11</v>
      </c>
      <c r="C4" s="1" t="s">
        <v>12</v>
      </c>
      <c r="D4" s="1" t="s">
        <v>11</v>
      </c>
      <c r="E4" s="1" t="s">
        <v>12</v>
      </c>
      <c r="F4" s="1" t="s">
        <v>11</v>
      </c>
      <c r="G4" s="1" t="s">
        <v>12</v>
      </c>
    </row>
    <row r="5" spans="1:11" x14ac:dyDescent="0.4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t="s">
        <v>74</v>
      </c>
      <c r="K5" t="s">
        <v>75</v>
      </c>
    </row>
    <row r="6" spans="1:11" x14ac:dyDescent="0.4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t="s">
        <v>74</v>
      </c>
      <c r="K6">
        <f>(B5+B6+B8)/8760</f>
        <v>8.2972602739726025</v>
      </c>
    </row>
    <row r="7" spans="1:11" x14ac:dyDescent="0.4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t="s">
        <v>73</v>
      </c>
    </row>
    <row r="8" spans="1:11" x14ac:dyDescent="0.4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t="s">
        <v>74</v>
      </c>
    </row>
    <row r="9" spans="1:11" x14ac:dyDescent="0.4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</row>
    <row r="10" spans="1:11" x14ac:dyDescent="0.4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50</v>
      </c>
      <c r="F10" s="1" t="s">
        <v>52</v>
      </c>
      <c r="G10" s="1" t="s">
        <v>50</v>
      </c>
    </row>
    <row r="13" spans="1:11" x14ac:dyDescent="0.45">
      <c r="A13" s="4">
        <v>53522.91</v>
      </c>
      <c r="B13" s="4">
        <f>72054.21/8760</f>
        <v>8.2253664383561649</v>
      </c>
    </row>
    <row r="14" spans="1:11" x14ac:dyDescent="0.45">
      <c r="A14" s="4">
        <v>8891.6200000000008</v>
      </c>
    </row>
    <row r="15" spans="1:11" x14ac:dyDescent="0.45">
      <c r="A15" s="4">
        <v>9639.68</v>
      </c>
    </row>
  </sheetData>
  <mergeCells count="1">
    <mergeCell ref="A1:G1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B5C018-3902-4156-9850-8665BC2165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Sectors</vt:lpstr>
      <vt:lpstr>Coal</vt:lpstr>
      <vt:lpstr>Oil</vt:lpstr>
      <vt:lpstr>Gas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2025-07-02T12:17:34Z</dcterms:created>
  <dcterms:modified xsi:type="dcterms:W3CDTF">2025-07-03T08:15:34Z</dcterms:modified>
</cp:coreProperties>
</file>