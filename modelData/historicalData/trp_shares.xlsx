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5E6B1194-FA4C-496D-BBCD-3F0D24B79AD0}" xr6:coauthVersionLast="47" xr6:coauthVersionMax="47" xr10:uidLastSave="{00000000-0000-0000-0000-000000000000}"/>
  <bookViews>
    <workbookView xWindow="0" yWindow="360" windowWidth="21795" windowHeight="12975" xr2:uid="{522309F5-6A0C-4CF9-87CB-BC3331198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K11" i="1"/>
  <c r="K7" i="1"/>
  <c r="K8" i="1"/>
  <c r="K9" i="1"/>
  <c r="K10" i="1"/>
  <c r="K6" i="1"/>
  <c r="K4" i="1"/>
  <c r="L6" i="1" l="1"/>
  <c r="L4" i="1"/>
  <c r="I5" i="1"/>
  <c r="I6" i="1"/>
  <c r="I7" i="1"/>
  <c r="I8" i="1"/>
  <c r="I9" i="1"/>
  <c r="I10" i="1"/>
  <c r="I11" i="1"/>
  <c r="I4" i="1"/>
  <c r="H4" i="1"/>
  <c r="H5" i="1"/>
  <c r="H6" i="1"/>
  <c r="H7" i="1"/>
  <c r="H8" i="1"/>
  <c r="H9" i="1"/>
  <c r="H10" i="1"/>
  <c r="H11" i="1"/>
  <c r="J3" i="1"/>
  <c r="Q18" i="1"/>
  <c r="P18" i="1"/>
</calcChain>
</file>

<file path=xl/sharedStrings.xml><?xml version="1.0" encoding="utf-8"?>
<sst xmlns="http://schemas.openxmlformats.org/spreadsheetml/2006/main" count="104" uniqueCount="38">
  <si>
    <t>R12_PAK</t>
  </si>
  <si>
    <t>transport</t>
  </si>
  <si>
    <t>useful</t>
  </si>
  <si>
    <t>2025</t>
  </si>
  <si>
    <t>year</t>
  </si>
  <si>
    <t>GWa</t>
  </si>
  <si>
    <t>2030</t>
  </si>
  <si>
    <t>2035</t>
  </si>
  <si>
    <t>2040</t>
  </si>
  <si>
    <t>2045</t>
  </si>
  <si>
    <t>2050</t>
  </si>
  <si>
    <t>2055</t>
  </si>
  <si>
    <t>2060</t>
  </si>
  <si>
    <t>2070</t>
  </si>
  <si>
    <t>node</t>
  </si>
  <si>
    <t>commodity</t>
  </si>
  <si>
    <t>level</t>
  </si>
  <si>
    <t>time</t>
  </si>
  <si>
    <t>value</t>
  </si>
  <si>
    <t>unit</t>
  </si>
  <si>
    <t>2020</t>
  </si>
  <si>
    <t>bal</t>
  </si>
  <si>
    <t>change</t>
  </si>
  <si>
    <t>share</t>
  </si>
  <si>
    <t>replacement</t>
  </si>
  <si>
    <t>share %</t>
  </si>
  <si>
    <t>UE_transport_electric_Minimum_total</t>
  </si>
  <si>
    <t>coal_trp</t>
  </si>
  <si>
    <t>elec_trp</t>
  </si>
  <si>
    <t>eth_fc_trp</t>
  </si>
  <si>
    <t>eth_ic_trp</t>
  </si>
  <si>
    <t>foil_trp</t>
  </si>
  <si>
    <t>gas_trp</t>
  </si>
  <si>
    <t>loil_trp</t>
  </si>
  <si>
    <t>meth_fc_trp</t>
  </si>
  <si>
    <t>meth_ic_trp</t>
  </si>
  <si>
    <t>h2_fc_trp</t>
  </si>
  <si>
    <t>UE_transport_electric_Minimum_share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</si>
</sst>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9" fontId="0" fillId="0" borderId="0" xfId="0" applyNumberFormat="1"/>
    <xf numFmtId="0" fontId="0" fillId="2" borderId="0" xfId="0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69A0-341A-45B0-84AF-9692DCCC2C36}">
  <dimension ref="A1:S31"/>
  <sheetViews>
    <sheetView tabSelected="1" workbookViewId="0">
      <selection activeCell="H22" sqref="H22"/>
    </sheetView>
  </sheetViews>
  <sheetFormatPr defaultRowHeight="14.25" x14ac:dyDescent="0.45"/>
  <cols>
    <col min="3" max="3" width="31.265625" bestFit="1" customWidth="1"/>
  </cols>
  <sheetData>
    <row r="1" spans="1:19" x14ac:dyDescent="0.45">
      <c r="A1" s="1" t="s">
        <v>14</v>
      </c>
      <c r="B1" s="1" t="s">
        <v>15</v>
      </c>
      <c r="C1" s="1" t="s">
        <v>16</v>
      </c>
      <c r="D1" s="1" t="s">
        <v>4</v>
      </c>
      <c r="E1" s="1" t="s">
        <v>17</v>
      </c>
      <c r="F1" s="1" t="s">
        <v>18</v>
      </c>
      <c r="G1" s="1" t="s">
        <v>19</v>
      </c>
      <c r="H1" s="8" t="s">
        <v>22</v>
      </c>
      <c r="I1" s="8" t="s">
        <v>24</v>
      </c>
      <c r="J1" s="2" t="s">
        <v>21</v>
      </c>
      <c r="K1" s="2" t="s">
        <v>23</v>
      </c>
      <c r="L1" s="2" t="s">
        <v>25</v>
      </c>
    </row>
    <row r="2" spans="1:19" x14ac:dyDescent="0.45">
      <c r="A2" t="s">
        <v>0</v>
      </c>
      <c r="B2" t="s">
        <v>1</v>
      </c>
      <c r="C2" t="s">
        <v>2</v>
      </c>
      <c r="D2" t="s">
        <v>20</v>
      </c>
      <c r="E2" t="s">
        <v>4</v>
      </c>
      <c r="F2">
        <v>24.31</v>
      </c>
      <c r="G2" t="s">
        <v>5</v>
      </c>
    </row>
    <row r="3" spans="1:19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>
        <v>28.532125919946438</v>
      </c>
      <c r="G3" t="s">
        <v>5</v>
      </c>
      <c r="J3">
        <f>Q19/5</f>
        <v>2.4780000000000002E-3</v>
      </c>
    </row>
    <row r="4" spans="1:19" x14ac:dyDescent="0.45">
      <c r="A4" t="s">
        <v>0</v>
      </c>
      <c r="B4" t="s">
        <v>1</v>
      </c>
      <c r="C4" t="s">
        <v>2</v>
      </c>
      <c r="D4" t="s">
        <v>6</v>
      </c>
      <c r="E4" t="s">
        <v>4</v>
      </c>
      <c r="F4">
        <v>32.5105</v>
      </c>
      <c r="G4" t="s">
        <v>5</v>
      </c>
      <c r="H4">
        <f>F4-F3</f>
        <v>3.9783740800535625</v>
      </c>
      <c r="I4">
        <f>(1/20)*F3</f>
        <v>1.426606295997322</v>
      </c>
      <c r="K4">
        <f>0.4*(H4)</f>
        <v>1.5913496320214251</v>
      </c>
      <c r="L4">
        <f>K4/F4*100</f>
        <v>4.894878983778856</v>
      </c>
    </row>
    <row r="5" spans="1:19" x14ac:dyDescent="0.45">
      <c r="A5" t="s">
        <v>0</v>
      </c>
      <c r="B5" t="s">
        <v>1</v>
      </c>
      <c r="C5" t="s">
        <v>2</v>
      </c>
      <c r="D5" t="s">
        <v>7</v>
      </c>
      <c r="E5" t="s">
        <v>4</v>
      </c>
      <c r="F5">
        <v>37.855699999999999</v>
      </c>
      <c r="G5" t="s">
        <v>5</v>
      </c>
      <c r="H5">
        <f t="shared" ref="H5:H11" si="0">F5-F4</f>
        <v>5.3451999999999984</v>
      </c>
      <c r="I5">
        <f t="shared" ref="I5:I11" si="1">(1/20)*F4</f>
        <v>1.6255250000000001</v>
      </c>
    </row>
    <row r="6" spans="1:19" x14ac:dyDescent="0.45">
      <c r="A6" t="s">
        <v>0</v>
      </c>
      <c r="B6" t="s">
        <v>1</v>
      </c>
      <c r="C6" t="s">
        <v>2</v>
      </c>
      <c r="D6" t="s">
        <v>8</v>
      </c>
      <c r="E6" t="s">
        <v>4</v>
      </c>
      <c r="F6">
        <v>44.436700000000002</v>
      </c>
      <c r="G6" t="s">
        <v>5</v>
      </c>
      <c r="H6">
        <f t="shared" si="0"/>
        <v>6.5810000000000031</v>
      </c>
      <c r="I6">
        <f t="shared" si="1"/>
        <v>1.8927849999999999</v>
      </c>
      <c r="K6">
        <f>0.9*(H6)</f>
        <v>5.9229000000000029</v>
      </c>
      <c r="L6">
        <f t="shared" ref="L5:L11" si="2">K6/F6*100</f>
        <v>13.328847551685888</v>
      </c>
    </row>
    <row r="7" spans="1:19" x14ac:dyDescent="0.45">
      <c r="A7" t="s">
        <v>0</v>
      </c>
      <c r="B7" t="s">
        <v>1</v>
      </c>
      <c r="C7" t="s">
        <v>2</v>
      </c>
      <c r="D7" t="s">
        <v>9</v>
      </c>
      <c r="E7" t="s">
        <v>4</v>
      </c>
      <c r="F7">
        <v>54.152200000000001</v>
      </c>
      <c r="G7" t="s">
        <v>5</v>
      </c>
      <c r="H7">
        <f t="shared" si="0"/>
        <v>9.7154999999999987</v>
      </c>
      <c r="I7">
        <f t="shared" si="1"/>
        <v>2.221835</v>
      </c>
      <c r="K7">
        <f t="shared" ref="K7:K11" si="3">0.9*(H7)</f>
        <v>8.7439499999999999</v>
      </c>
      <c r="L7">
        <f t="shared" si="2"/>
        <v>16.146989411325855</v>
      </c>
    </row>
    <row r="8" spans="1:19" x14ac:dyDescent="0.45">
      <c r="A8" t="s">
        <v>0</v>
      </c>
      <c r="B8" t="s">
        <v>1</v>
      </c>
      <c r="C8" t="s">
        <v>2</v>
      </c>
      <c r="D8" t="s">
        <v>10</v>
      </c>
      <c r="E8" t="s">
        <v>4</v>
      </c>
      <c r="F8">
        <v>64.366100000000003</v>
      </c>
      <c r="G8" t="s">
        <v>5</v>
      </c>
      <c r="H8">
        <f t="shared" si="0"/>
        <v>10.213900000000002</v>
      </c>
      <c r="I8">
        <f t="shared" si="1"/>
        <v>2.7076100000000003</v>
      </c>
      <c r="K8">
        <f t="shared" si="3"/>
        <v>9.1925100000000022</v>
      </c>
      <c r="L8">
        <f t="shared" si="2"/>
        <v>14.281601650558292</v>
      </c>
    </row>
    <row r="9" spans="1:19" x14ac:dyDescent="0.45">
      <c r="A9" t="s">
        <v>0</v>
      </c>
      <c r="B9" t="s">
        <v>1</v>
      </c>
      <c r="C9" t="s">
        <v>2</v>
      </c>
      <c r="D9" t="s">
        <v>11</v>
      </c>
      <c r="E9" t="s">
        <v>4</v>
      </c>
      <c r="F9">
        <v>78.415400000000005</v>
      </c>
      <c r="G9" t="s">
        <v>5</v>
      </c>
      <c r="H9">
        <f t="shared" si="0"/>
        <v>14.049300000000002</v>
      </c>
      <c r="I9">
        <f t="shared" si="1"/>
        <v>3.2183050000000004</v>
      </c>
      <c r="K9">
        <f t="shared" si="3"/>
        <v>12.644370000000002</v>
      </c>
      <c r="L9">
        <f t="shared" si="2"/>
        <v>16.124855576838222</v>
      </c>
    </row>
    <row r="10" spans="1:19" x14ac:dyDescent="0.45">
      <c r="A10" t="s">
        <v>0</v>
      </c>
      <c r="B10" t="s">
        <v>1</v>
      </c>
      <c r="C10" t="s">
        <v>2</v>
      </c>
      <c r="D10" t="s">
        <v>12</v>
      </c>
      <c r="E10" t="s">
        <v>4</v>
      </c>
      <c r="F10">
        <v>93.945599999999999</v>
      </c>
      <c r="G10" t="s">
        <v>5</v>
      </c>
      <c r="H10">
        <f t="shared" si="0"/>
        <v>15.530199999999994</v>
      </c>
      <c r="I10">
        <f t="shared" si="1"/>
        <v>3.9207700000000005</v>
      </c>
      <c r="K10">
        <f t="shared" si="3"/>
        <v>13.977179999999995</v>
      </c>
      <c r="L10">
        <f t="shared" si="2"/>
        <v>14.877950643776819</v>
      </c>
    </row>
    <row r="11" spans="1:19" x14ac:dyDescent="0.45">
      <c r="A11" t="s">
        <v>0</v>
      </c>
      <c r="B11" t="s">
        <v>1</v>
      </c>
      <c r="C11" t="s">
        <v>2</v>
      </c>
      <c r="D11" t="s">
        <v>13</v>
      </c>
      <c r="E11" t="s">
        <v>4</v>
      </c>
      <c r="F11">
        <v>129.93209999999999</v>
      </c>
      <c r="G11" t="s">
        <v>5</v>
      </c>
      <c r="H11">
        <f t="shared" si="0"/>
        <v>35.986499999999992</v>
      </c>
      <c r="I11">
        <f t="shared" si="1"/>
        <v>4.6972800000000001</v>
      </c>
      <c r="K11">
        <f>0.9*(H11)</f>
        <v>32.387849999999993</v>
      </c>
      <c r="L11">
        <f t="shared" si="2"/>
        <v>24.926750202605817</v>
      </c>
    </row>
    <row r="14" spans="1:19" x14ac:dyDescent="0.45">
      <c r="P14" s="3">
        <v>500000</v>
      </c>
      <c r="Q14">
        <v>50000</v>
      </c>
      <c r="R14" s="6">
        <v>0.5</v>
      </c>
      <c r="S14" s="6">
        <v>0.9</v>
      </c>
    </row>
    <row r="15" spans="1:19" x14ac:dyDescent="0.45">
      <c r="P15" s="4">
        <v>1000</v>
      </c>
      <c r="Q15">
        <v>200</v>
      </c>
      <c r="R15" s="6">
        <v>0.3</v>
      </c>
      <c r="S15" s="6">
        <v>0.9</v>
      </c>
    </row>
    <row r="16" spans="1:19" x14ac:dyDescent="0.45">
      <c r="P16" s="4">
        <v>100000</v>
      </c>
      <c r="Q16">
        <v>3000</v>
      </c>
      <c r="R16" s="6">
        <v>0.5</v>
      </c>
      <c r="S16" s="6">
        <v>0.9</v>
      </c>
    </row>
    <row r="17" spans="3:19" x14ac:dyDescent="0.45">
      <c r="P17" s="5">
        <v>1000</v>
      </c>
      <c r="Q17">
        <v>10</v>
      </c>
      <c r="R17" s="6">
        <v>0.3</v>
      </c>
      <c r="S17" s="6">
        <v>0.9</v>
      </c>
    </row>
    <row r="18" spans="3:19" x14ac:dyDescent="0.45">
      <c r="P18">
        <f>SUM(P14:P17)</f>
        <v>602000</v>
      </c>
      <c r="Q18" s="7">
        <f>SUM(Q14:Q17)</f>
        <v>53210</v>
      </c>
      <c r="R18" s="6">
        <v>0.4</v>
      </c>
      <c r="S18" s="6">
        <v>0.9</v>
      </c>
    </row>
    <row r="19" spans="3:19" x14ac:dyDescent="0.45">
      <c r="P19">
        <v>0.14000000000000001</v>
      </c>
      <c r="Q19">
        <v>1.239E-2</v>
      </c>
    </row>
    <row r="21" spans="3:19" x14ac:dyDescent="0.45">
      <c r="C21" t="s">
        <v>26</v>
      </c>
      <c r="D21" t="s">
        <v>27</v>
      </c>
      <c r="E21" t="s">
        <v>27</v>
      </c>
    </row>
    <row r="22" spans="3:19" x14ac:dyDescent="0.45">
      <c r="C22" t="s">
        <v>26</v>
      </c>
      <c r="D22" t="s">
        <v>28</v>
      </c>
      <c r="E22" t="s">
        <v>28</v>
      </c>
    </row>
    <row r="23" spans="3:19" x14ac:dyDescent="0.45">
      <c r="C23" t="s">
        <v>26</v>
      </c>
      <c r="D23" t="s">
        <v>29</v>
      </c>
      <c r="E23" t="s">
        <v>29</v>
      </c>
    </row>
    <row r="24" spans="3:19" x14ac:dyDescent="0.45">
      <c r="C24" t="s">
        <v>26</v>
      </c>
      <c r="D24" t="s">
        <v>30</v>
      </c>
      <c r="E24" t="s">
        <v>30</v>
      </c>
    </row>
    <row r="25" spans="3:19" x14ac:dyDescent="0.45">
      <c r="C25" t="s">
        <v>26</v>
      </c>
      <c r="D25" t="s">
        <v>31</v>
      </c>
      <c r="E25" t="s">
        <v>31</v>
      </c>
    </row>
    <row r="26" spans="3:19" x14ac:dyDescent="0.45">
      <c r="C26" t="s">
        <v>26</v>
      </c>
      <c r="D26" t="s">
        <v>32</v>
      </c>
      <c r="E26" t="s">
        <v>32</v>
      </c>
    </row>
    <row r="27" spans="3:19" x14ac:dyDescent="0.45">
      <c r="C27" t="s">
        <v>26</v>
      </c>
      <c r="D27" t="s">
        <v>33</v>
      </c>
      <c r="E27" t="s">
        <v>36</v>
      </c>
    </row>
    <row r="28" spans="3:19" x14ac:dyDescent="0.45">
      <c r="C28" t="s">
        <v>26</v>
      </c>
      <c r="D28" t="s">
        <v>34</v>
      </c>
      <c r="E28" t="s">
        <v>33</v>
      </c>
    </row>
    <row r="29" spans="3:19" x14ac:dyDescent="0.45">
      <c r="C29" t="s">
        <v>26</v>
      </c>
      <c r="D29" t="s">
        <v>35</v>
      </c>
      <c r="E29" t="s">
        <v>34</v>
      </c>
    </row>
    <row r="30" spans="3:19" x14ac:dyDescent="0.45">
      <c r="C30" t="s">
        <v>26</v>
      </c>
      <c r="D30" t="s">
        <v>36</v>
      </c>
      <c r="E30" t="s">
        <v>35</v>
      </c>
    </row>
    <row r="31" spans="3:19" x14ac:dyDescent="0.45">
      <c r="C31" t="s">
        <v>37</v>
      </c>
      <c r="D3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2025-09-10T08:18:26Z</dcterms:created>
  <dcterms:modified xsi:type="dcterms:W3CDTF">2025-09-16T07:30:59Z</dcterms:modified>
</cp:coreProperties>
</file>