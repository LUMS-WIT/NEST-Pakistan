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MESSAGEix-Pakistan-v2-old-2\modelData\emissionAllocation\"/>
    </mc:Choice>
  </mc:AlternateContent>
  <xr:revisionPtr revIDLastSave="0" documentId="8_{636CD151-B36E-4874-B230-7017366BA470}" xr6:coauthVersionLast="47" xr6:coauthVersionMax="47" xr10:uidLastSave="{00000000-0000-0000-0000-000000000000}"/>
  <bookViews>
    <workbookView xWindow="-83" yWindow="0" windowWidth="11978" windowHeight="12863" xr2:uid="{4DF12051-6F35-430F-8BF0-921BE2B0C140}"/>
  </bookViews>
  <sheets>
    <sheet name="MtC" sheetId="1" r:id="rId1"/>
    <sheet name="GDP" sheetId="4" r:id="rId2"/>
    <sheet name="Sequestration" sheetId="5" r:id="rId3"/>
  </sheets>
  <calcPr calcId="0"/>
</workbook>
</file>

<file path=xl/calcChain.xml><?xml version="1.0" encoding="utf-8"?>
<calcChain xmlns="http://schemas.openxmlformats.org/spreadsheetml/2006/main">
  <c r="B4" i="1" l="1"/>
  <c r="B3" i="1"/>
  <c r="B2" i="1"/>
  <c r="D9" i="1"/>
  <c r="D4" i="1" s="1"/>
  <c r="C9" i="1"/>
  <c r="C4" i="1" s="1"/>
  <c r="D7" i="1"/>
  <c r="D2" i="1" s="1"/>
  <c r="C7" i="1"/>
  <c r="C2" i="1" s="1"/>
  <c r="C8" i="1"/>
  <c r="C3" i="1" s="1"/>
  <c r="D8" i="1"/>
  <c r="D3" i="1" s="1"/>
  <c r="E9" i="1"/>
  <c r="E4" i="1" s="1"/>
  <c r="E8" i="1"/>
  <c r="E3" i="1" s="1"/>
  <c r="E7" i="1"/>
  <c r="E2" i="1" s="1"/>
  <c r="H10" i="1"/>
  <c r="G10" i="1"/>
  <c r="F5" i="1"/>
</calcChain>
</file>

<file path=xl/sharedStrings.xml><?xml version="1.0" encoding="utf-8"?>
<sst xmlns="http://schemas.openxmlformats.org/spreadsheetml/2006/main" count="19" uniqueCount="11">
  <si>
    <t>NDC-15</t>
  </si>
  <si>
    <t>NDC-50</t>
  </si>
  <si>
    <t>year</t>
  </si>
  <si>
    <t>units</t>
  </si>
  <si>
    <t>MtC</t>
  </si>
  <si>
    <t>MtCO2</t>
  </si>
  <si>
    <t>NDC-0</t>
  </si>
  <si>
    <t>Total</t>
  </si>
  <si>
    <t>Waste</t>
  </si>
  <si>
    <t>Energy &amp; IPPU</t>
  </si>
  <si>
    <t>AFOLU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</si>
</sst>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68B4-C742-4128-AEBB-37B01197E376}">
  <dimension ref="A1:I11"/>
  <sheetViews>
    <sheetView tabSelected="1" workbookViewId="0">
      <selection activeCell="D12" sqref="D12"/>
    </sheetView>
  </sheetViews>
  <sheetFormatPr defaultColWidth="10.59765625" defaultRowHeight="14.25" x14ac:dyDescent="0.45"/>
  <cols>
    <col min="3" max="3" width="11.86328125" bestFit="1" customWidth="1"/>
  </cols>
  <sheetData>
    <row r="1" spans="1:9" s="1" customFormat="1" x14ac:dyDescent="0.45">
      <c r="A1" s="1" t="s">
        <v>2</v>
      </c>
      <c r="B1" s="1" t="s">
        <v>7</v>
      </c>
      <c r="C1" s="1" t="s">
        <v>9</v>
      </c>
      <c r="D1" s="1" t="s">
        <v>10</v>
      </c>
      <c r="E1" s="1" t="s">
        <v>8</v>
      </c>
      <c r="F1" s="1" t="s">
        <v>6</v>
      </c>
      <c r="G1" s="1" t="s">
        <v>0</v>
      </c>
      <c r="H1" s="1" t="s">
        <v>1</v>
      </c>
      <c r="I1" s="1" t="s">
        <v>3</v>
      </c>
    </row>
    <row r="2" spans="1:9" x14ac:dyDescent="0.45">
      <c r="A2">
        <v>2015</v>
      </c>
      <c r="B2">
        <f>B7*12/44</f>
        <v>111.30000000000001</v>
      </c>
      <c r="C2">
        <f>C7*12/44</f>
        <v>56.651700000000005</v>
      </c>
      <c r="D2">
        <f t="shared" ref="D2:E2" si="0">D7*12/44</f>
        <v>50.307600000000008</v>
      </c>
      <c r="E2">
        <f t="shared" si="0"/>
        <v>4.2293999999999992</v>
      </c>
      <c r="I2" t="s">
        <v>4</v>
      </c>
    </row>
    <row r="3" spans="1:9" x14ac:dyDescent="0.45">
      <c r="A3">
        <v>2018</v>
      </c>
      <c r="B3">
        <f>B8*12/44</f>
        <v>133.60090909090911</v>
      </c>
      <c r="C3">
        <f t="shared" ref="C3:E3" si="1">C8*12/44</f>
        <v>66.800454545454556</v>
      </c>
      <c r="D3">
        <f t="shared" si="1"/>
        <v>60.922014545454552</v>
      </c>
      <c r="E3">
        <f t="shared" si="1"/>
        <v>5.8784400000000003</v>
      </c>
      <c r="I3" t="s">
        <v>4</v>
      </c>
    </row>
    <row r="4" spans="1:9" x14ac:dyDescent="0.45">
      <c r="A4">
        <v>2021</v>
      </c>
      <c r="B4">
        <f>B9*12/44</f>
        <v>142.21636363636364</v>
      </c>
      <c r="C4">
        <f t="shared" ref="C4:E4" si="2">C9*12/44</f>
        <v>66.884355818181817</v>
      </c>
      <c r="D4">
        <f t="shared" si="2"/>
        <v>66.486150000000009</v>
      </c>
      <c r="E4">
        <f t="shared" si="2"/>
        <v>8.8458578181818197</v>
      </c>
      <c r="I4" t="s">
        <v>4</v>
      </c>
    </row>
    <row r="5" spans="1:9" x14ac:dyDescent="0.45">
      <c r="A5">
        <v>2030</v>
      </c>
      <c r="F5">
        <f>F10*12/44</f>
        <v>437.18181818181819</v>
      </c>
      <c r="G5">
        <v>371.56</v>
      </c>
      <c r="H5">
        <v>218.75</v>
      </c>
      <c r="I5" t="s">
        <v>4</v>
      </c>
    </row>
    <row r="6" spans="1:9" x14ac:dyDescent="0.45">
      <c r="A6">
        <v>2035</v>
      </c>
      <c r="I6" t="s">
        <v>4</v>
      </c>
    </row>
    <row r="7" spans="1:9" x14ac:dyDescent="0.45">
      <c r="A7">
        <v>2015</v>
      </c>
      <c r="B7" s="2">
        <v>408.1</v>
      </c>
      <c r="C7">
        <f>B7*0.455+B7*5.4/100</f>
        <v>207.72290000000001</v>
      </c>
      <c r="D7">
        <f>B7*0.427+B7*2.5/100</f>
        <v>184.46120000000002</v>
      </c>
      <c r="E7">
        <f>B7*3.8/100</f>
        <v>15.5078</v>
      </c>
      <c r="I7" t="s">
        <v>5</v>
      </c>
    </row>
    <row r="8" spans="1:9" x14ac:dyDescent="0.45">
      <c r="A8">
        <v>2018</v>
      </c>
      <c r="B8">
        <v>489.87</v>
      </c>
      <c r="C8">
        <f>B8*0.447+B8*5.3/100</f>
        <v>244.935</v>
      </c>
      <c r="D8">
        <f>B8*0.404+B8*5.2/100</f>
        <v>223.38072000000003</v>
      </c>
      <c r="E8">
        <f>B8*4.4/100</f>
        <v>21.554280000000002</v>
      </c>
      <c r="I8" t="s">
        <v>5</v>
      </c>
    </row>
    <row r="9" spans="1:9" x14ac:dyDescent="0.45">
      <c r="A9">
        <v>2021</v>
      </c>
      <c r="B9" s="2">
        <v>521.46</v>
      </c>
      <c r="C9">
        <f>B9*0.409+B9*6.13/100</f>
        <v>245.242638</v>
      </c>
      <c r="D9">
        <f>B9*0.4675</f>
        <v>243.78255000000004</v>
      </c>
      <c r="E9">
        <f>B9*6.22/100</f>
        <v>32.434812000000001</v>
      </c>
      <c r="I9" t="s">
        <v>5</v>
      </c>
    </row>
    <row r="10" spans="1:9" x14ac:dyDescent="0.45">
      <c r="A10">
        <v>2030</v>
      </c>
      <c r="F10">
        <v>1603</v>
      </c>
      <c r="G10">
        <f>F10*0.85</f>
        <v>1362.55</v>
      </c>
      <c r="H10">
        <f>F10*0.5</f>
        <v>801.5</v>
      </c>
      <c r="I10" t="s">
        <v>5</v>
      </c>
    </row>
    <row r="11" spans="1:9" x14ac:dyDescent="0.45">
      <c r="A11">
        <v>2035</v>
      </c>
      <c r="I11" t="s">
        <v>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4192-0362-493B-B833-29B8258E64C1}">
  <dimension ref="A1"/>
  <sheetViews>
    <sheetView workbookViewId="0">
      <selection activeCell="D17" sqref="D17"/>
    </sheetView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32BA-28C6-43FD-9BA7-B7651F976DB7}">
  <dimension ref="A1"/>
  <sheetViews>
    <sheetView workbookViewId="0">
      <selection activeCell="D17" sqref="D17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MtC</vt:lpstr>
      <vt:lpstr>GDP</vt:lpstr>
      <vt:lpstr>Sequestration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2025-05-22T05:31:47Z</dcterms:created>
  <dcterms:modified xsi:type="dcterms:W3CDTF">2025-05-22T12:36:48Z</dcterms:modified>
</cp:coreProperties>
</file>