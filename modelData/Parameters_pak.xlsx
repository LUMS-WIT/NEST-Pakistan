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https://d.docs.live.net/8ca933f8a515cae3/Documents/COMMITTED/CurPol/modelData/"/>
    </mc:Choice>
  </mc:AlternateContent>
  <xr:revisionPtr revIDLastSave="225" documentId="13_ncr:1_{B298ED3A-42EA-8844-B56B-0EB517F47B3C}" xr6:coauthVersionLast="47" xr6:coauthVersionMax="47" xr10:uidLastSave="{A640873C-7396-4CB7-89DD-0B04A895530D}"/>
  <bookViews>
    <workbookView xWindow="-108" yWindow="-108" windowWidth="23256" windowHeight="12456" firstSheet="4" activeTab="8" xr2:uid="{00000000-000D-0000-FFFF-FFFF00000000}"/>
  </bookViews>
  <sheets>
    <sheet name="resourceCost" sheetId="34" r:id="rId1"/>
    <sheet name="resource" sheetId="29" r:id="rId2"/>
    <sheet name="renewable" sheetId="31" r:id="rId3"/>
    <sheet name="demand_data" sheetId="28" r:id="rId4"/>
    <sheet name="commodityPrice" sheetId="47" r:id="rId5"/>
    <sheet name="relation_activity" sheetId="27" r:id="rId6"/>
    <sheet name="peak_load_factor" sheetId="38" r:id="rId7"/>
    <sheet name="historical_new_capacity" sheetId="44" r:id="rId8"/>
    <sheet name="historical_activity" sheetId="50" r:id="rId9"/>
    <sheet name="share_comodity_lo" sheetId="46" r:id="rId10"/>
    <sheet name="parCopy" sheetId="22" r:id="rId11"/>
    <sheet name="parReplace" sheetId="37" r:id="rId12"/>
    <sheet name="parRemove" sheetId="26" r:id="rId13"/>
    <sheet name="technical_lifetime" sheetId="20" r:id="rId14"/>
    <sheet name="input" sheetId="23" r:id="rId15"/>
    <sheet name="output" sheetId="25" r:id="rId16"/>
    <sheet name="inv_cost" sheetId="36" r:id="rId17"/>
    <sheet name="var_cost" sheetId="24" r:id="rId18"/>
  </sheets>
  <definedNames>
    <definedName name="_xlnm._FilterDatabase" localSheetId="4" hidden="1">commodityPrice!$A$1:$E$269</definedName>
    <definedName name="_xlnm._FilterDatabase" localSheetId="8" hidden="1">historical_activity!$A$1:$G$486</definedName>
    <definedName name="_xlnm._FilterDatabase" localSheetId="7" hidden="1">historical_new_capacity!$A$1:$E$121</definedName>
    <definedName name="_xlnm._FilterDatabase" localSheetId="10" hidden="1">parCopy!$A$1:$H$1</definedName>
    <definedName name="_xlnm._FilterDatabase" localSheetId="5" hidden="1">relation_activity!$A$1:$I$151</definedName>
    <definedName name="_xlnm._FilterDatabase" localSheetId="13" hidden="1">technical_lifetime!$A$1:$E$1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3" i="31" l="1"/>
  <c r="D34" i="31" s="1"/>
  <c r="G30" i="31"/>
  <c r="G32" i="31" s="1"/>
  <c r="G33" i="31" s="1"/>
  <c r="G34" i="31" s="1"/>
  <c r="I33" i="31"/>
  <c r="I34" i="31" s="1"/>
  <c r="I32" i="31"/>
  <c r="D17" i="47" l="1"/>
  <c r="D32" i="47"/>
  <c r="D33" i="47"/>
  <c r="D34" i="47"/>
  <c r="D35" i="47"/>
  <c r="D36" i="47"/>
  <c r="D37" i="47"/>
  <c r="D38" i="47"/>
  <c r="D39" i="47"/>
  <c r="D40" i="47"/>
  <c r="D41" i="47"/>
  <c r="D42" i="47"/>
  <c r="D43" i="47"/>
  <c r="D44" i="47"/>
  <c r="D45" i="47"/>
  <c r="D46" i="47"/>
  <c r="D60" i="47"/>
  <c r="D61" i="47"/>
  <c r="D62" i="47"/>
  <c r="D63" i="47"/>
  <c r="D64" i="47"/>
  <c r="D65" i="47"/>
  <c r="D66" i="47"/>
  <c r="D67" i="47"/>
  <c r="D68" i="47"/>
  <c r="D69" i="47"/>
  <c r="D70" i="47"/>
  <c r="D71" i="47"/>
  <c r="D72" i="47"/>
  <c r="D73" i="47"/>
  <c r="D74" i="47"/>
  <c r="D120" i="47"/>
  <c r="D121" i="47"/>
  <c r="D122" i="47"/>
  <c r="D123" i="47"/>
  <c r="D124" i="47"/>
  <c r="D125" i="47"/>
  <c r="D126" i="47"/>
  <c r="D127" i="47"/>
  <c r="D128" i="47"/>
  <c r="D129" i="47"/>
  <c r="D130" i="47"/>
  <c r="D131" i="47"/>
  <c r="D132" i="47"/>
  <c r="D133" i="47"/>
  <c r="D134" i="47"/>
  <c r="D193" i="47"/>
  <c r="D194" i="47"/>
  <c r="D195" i="47"/>
  <c r="D196" i="47"/>
  <c r="D197" i="47"/>
  <c r="D198" i="47"/>
  <c r="D199" i="47"/>
  <c r="D200" i="47"/>
  <c r="D201" i="47"/>
  <c r="D202" i="47"/>
  <c r="D203" i="47"/>
  <c r="D204" i="47"/>
  <c r="D205" i="47"/>
  <c r="D206" i="47"/>
  <c r="D207" i="4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1" authorId="0" shapeId="0" xr:uid="{00000000-0006-0000-0000-000001000000}">
      <text>
        <r>
          <rPr>
            <b/>
            <sz val="9"/>
            <color indexed="81"/>
            <rFont val="Tahoma"/>
            <family val="2"/>
          </rPr>
          <t>admin:</t>
        </r>
        <r>
          <rPr>
            <sz val="9"/>
            <color indexed="81"/>
            <rFont val="Tahoma"/>
            <family val="2"/>
          </rPr>
          <t xml:space="preserve">
BZ: Choosing either to use the costs from Global MESSAGE ( by "Yes"), or directly from this sheet (by "No"). In both cases, the "cost multiplier" will apply to the cost estimation.</t>
        </r>
      </text>
    </comment>
    <comment ref="E1" authorId="0" shapeId="0" xr:uid="{00000000-0006-0000-0000-000002000000}">
      <text>
        <r>
          <rPr>
            <b/>
            <sz val="9"/>
            <color rgb="FF000000"/>
            <rFont val="Tahoma"/>
            <family val="2"/>
          </rPr>
          <t>admin:</t>
        </r>
        <r>
          <rPr>
            <sz val="9"/>
            <color rgb="FF000000"/>
            <rFont val="Tahoma"/>
            <family val="2"/>
          </rPr>
          <t xml:space="preserve">
</t>
        </r>
        <r>
          <rPr>
            <sz val="9"/>
            <color rgb="FF000000"/>
            <rFont val="Tahoma"/>
            <family val="2"/>
          </rPr>
          <t xml:space="preserve">BZ: These are the base rate costs for extraction cost curves. These base rates will be multiplied by growth rates in the table. The growth rates can be obtained from Global MESSAGE, for example.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D1" authorId="0" shapeId="0" xr:uid="{00000000-0006-0000-0100-000001000000}">
      <text>
        <r>
          <rPr>
            <b/>
            <sz val="9"/>
            <color indexed="81"/>
            <rFont val="Tahoma"/>
            <family val="2"/>
          </rPr>
          <t>admin:</t>
        </r>
        <r>
          <rPr>
            <sz val="9"/>
            <color indexed="81"/>
            <rFont val="Tahoma"/>
            <family val="2"/>
          </rPr>
          <t xml:space="preserve">
This gives permission to use the data of the parent region, multiplied by "Percentage" in this sheet. If this is "No", the model uses the resource amount data under "Volume" in this sheet.</t>
        </r>
      </text>
    </comment>
    <comment ref="F1" authorId="0" shapeId="0" xr:uid="{00000000-0006-0000-0100-000003000000}">
      <text>
        <r>
          <rPr>
            <b/>
            <sz val="9"/>
            <color indexed="81"/>
            <rFont val="Tahoma"/>
            <family val="2"/>
          </rPr>
          <t>admin:</t>
        </r>
        <r>
          <rPr>
            <sz val="9"/>
            <color indexed="81"/>
            <rFont val="Tahoma"/>
            <family val="2"/>
          </rPr>
          <t xml:space="preserve">
This is the percentage of the resource from the parent region. </t>
        </r>
      </text>
    </comment>
    <comment ref="G1" authorId="0" shapeId="0" xr:uid="{00000000-0006-0000-0100-000004000000}">
      <text>
        <r>
          <rPr>
            <b/>
            <sz val="9"/>
            <color rgb="FF000000"/>
            <rFont val="Tahoma"/>
            <family val="2"/>
          </rPr>
          <t>admin:</t>
        </r>
        <r>
          <rPr>
            <sz val="9"/>
            <color rgb="FF000000"/>
            <rFont val="Tahoma"/>
            <family val="2"/>
          </rPr>
          <t xml:space="preserve">
</t>
        </r>
        <r>
          <rPr>
            <sz val="9"/>
            <color rgb="FF000000"/>
            <rFont val="Tahoma"/>
            <family val="2"/>
          </rPr>
          <t>Resource volume in Gwa. These values will be imoprted to the model, if and only if, the column "UsingPercent" is "No" in this sheet.</t>
        </r>
      </text>
    </comment>
    <comment ref="H1" authorId="0" shapeId="0" xr:uid="{33FE67B8-45BA-4AB0-A9B4-D778471352F4}">
      <text>
        <r>
          <rPr>
            <b/>
            <sz val="9"/>
            <color rgb="FF000000"/>
            <rFont val="Tahoma"/>
            <family val="2"/>
          </rPr>
          <t>admin:</t>
        </r>
        <r>
          <rPr>
            <sz val="9"/>
            <color rgb="FF000000"/>
            <rFont val="Tahoma"/>
            <family val="2"/>
          </rPr>
          <t xml:space="preserve">
</t>
        </r>
        <r>
          <rPr>
            <sz val="9"/>
            <color rgb="FF000000"/>
            <rFont val="Tahoma"/>
            <family val="2"/>
          </rPr>
          <t>These percentages are used for dividing historical activity of extraction technologies. For example, 0.9 here means that historical activity can be up to 90% of the total potential in this category. After reaching this limit, the remaining historical activity will be assigned to the next extraction grade (lower grade).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1" authorId="0" shapeId="0" xr:uid="{3EEF4879-EE05-4B2E-BDF9-202453AC1B2E}">
      <text>
        <r>
          <rPr>
            <b/>
            <sz val="9"/>
            <color indexed="81"/>
            <rFont val="Tahoma"/>
            <family val="2"/>
          </rPr>
          <t>admin:</t>
        </r>
        <r>
          <rPr>
            <sz val="9"/>
            <color indexed="81"/>
            <rFont val="Tahoma"/>
            <family val="2"/>
          </rPr>
          <t xml:space="preserve">
The type of data in this sheet. if this is "rate", the values in the table should be growth rates (%) compared to column "base year" (historical year). If this is "value", the values in the table should be absolute values of the demand.</t>
        </r>
      </text>
    </comment>
    <comment ref="D1" authorId="0" shapeId="0" xr:uid="{36405C6B-AA61-4A0C-B652-8828EA1A27DA}">
      <text>
        <r>
          <rPr>
            <b/>
            <sz val="9"/>
            <color indexed="81"/>
            <rFont val="Tahoma"/>
            <family val="2"/>
          </rPr>
          <t>admin:</t>
        </r>
        <r>
          <rPr>
            <sz val="9"/>
            <color indexed="81"/>
            <rFont val="Tahoma"/>
            <family val="2"/>
          </rPr>
          <t xml:space="preserve">
It defines the source of data for base year (e.g., for 2010). If this is Excel, it reads the data from this Excel for the base year. If this is "model", it reads the data from historical_activity of technologies in the specified message model in python script. </t>
        </r>
      </text>
    </comment>
    <comment ref="E1" authorId="0" shapeId="0" xr:uid="{F2833291-F92A-49FF-B24C-19096F8F662E}">
      <text>
        <r>
          <rPr>
            <b/>
            <sz val="9"/>
            <color indexed="81"/>
            <rFont val="Tahoma"/>
            <family val="2"/>
          </rPr>
          <t>admin:</t>
        </r>
        <r>
          <rPr>
            <sz val="9"/>
            <color indexed="81"/>
            <rFont val="Tahoma"/>
            <family val="2"/>
          </rPr>
          <t xml:space="preserve">
demand for the base year (e.g., 2010), to be multiplied by growth rates in the following columns.</t>
        </r>
      </text>
    </comment>
    <comment ref="F1" authorId="0" shapeId="0" xr:uid="{0009DE57-3779-46D1-8169-66E2AC7DAD03}">
      <text>
        <r>
          <rPr>
            <b/>
            <sz val="9"/>
            <color indexed="81"/>
            <rFont val="Tahoma"/>
            <family val="2"/>
          </rPr>
          <t>admin:</t>
        </r>
        <r>
          <rPr>
            <sz val="9"/>
            <color indexed="81"/>
            <rFont val="Tahoma"/>
            <family val="2"/>
          </rPr>
          <t xml:space="preserve">
a multiplier in the "base year" demand, only if the "data type" is "rate". This is mainly for correcting some demand categories, when reading from their data from the "model".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1" authorId="0" shapeId="0" xr:uid="{00000000-0006-0000-0A00-000001000000}">
      <text>
        <r>
          <rPr>
            <b/>
            <sz val="9"/>
            <color indexed="81"/>
            <rFont val="Tahoma"/>
            <family val="2"/>
          </rPr>
          <t>admin:</t>
        </r>
        <r>
          <rPr>
            <sz val="9"/>
            <color indexed="81"/>
            <rFont val="Tahoma"/>
            <family val="2"/>
          </rPr>
          <t xml:space="preserve">
BZ: the data in this file should be updated both for values and the years</t>
        </r>
      </text>
    </comment>
    <comment ref="D165" authorId="0" shapeId="0" xr:uid="{00000000-0006-0000-0A00-000003000000}">
      <text>
        <r>
          <rPr>
            <b/>
            <sz val="9"/>
            <color indexed="81"/>
            <rFont val="Tahoma"/>
            <family val="2"/>
          </rPr>
          <t>admin:</t>
        </r>
        <r>
          <rPr>
            <sz val="9"/>
            <color indexed="81"/>
            <rFont val="Tahoma"/>
            <family val="2"/>
          </rPr>
          <t xml:space="preserve">
60% higher price relative to crude oil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1" authorId="0" shapeId="0" xr:uid="{00000000-0006-0000-0E00-000001000000}">
      <text>
        <r>
          <rPr>
            <b/>
            <sz val="9"/>
            <color indexed="81"/>
            <rFont val="Tahoma"/>
            <family val="2"/>
          </rPr>
          <t>admin:</t>
        </r>
        <r>
          <rPr>
            <sz val="9"/>
            <color indexed="81"/>
            <rFont val="Tahoma"/>
            <family val="2"/>
          </rPr>
          <t xml:space="preserve">
BZ: This sheet will be read by python function "copyPar.py". In this sheet, those parameters that should be copied "from" one technology "to" another are specified per row. The modeler can multiply the value of one parameter. If "active" is not "yes", the copying won't be done. This is to avoid repetition of copying in multiple runs of the "copyPar" function.</t>
        </r>
      </text>
    </comment>
    <comment ref="E1" authorId="0" shapeId="0" xr:uid="{00000000-0006-0000-0E00-000002000000}">
      <text>
        <r>
          <rPr>
            <b/>
            <sz val="9"/>
            <color rgb="FF000000"/>
            <rFont val="Tahoma"/>
            <family val="2"/>
          </rPr>
          <t>admin:</t>
        </r>
        <r>
          <rPr>
            <sz val="9"/>
            <color rgb="FF000000"/>
            <rFont val="Tahoma"/>
            <family val="2"/>
          </rPr>
          <t xml:space="preserve">
</t>
        </r>
        <r>
          <rPr>
            <sz val="9"/>
            <color rgb="FF000000"/>
            <rFont val="Tahoma"/>
            <family val="2"/>
          </rPr>
          <t>BZ: if the "attribute" will be empty, the whole parameter items will be copied (value, year, node, etc.). If this "attribute" is specified here, only this attribute will be copied.</t>
        </r>
      </text>
    </comment>
    <comment ref="F1" authorId="0" shapeId="0" xr:uid="{00000000-0006-0000-0E00-000003000000}">
      <text>
        <r>
          <rPr>
            <b/>
            <sz val="9"/>
            <color indexed="81"/>
            <rFont val="Tahoma"/>
            <family val="2"/>
          </rPr>
          <t>admin:</t>
        </r>
        <r>
          <rPr>
            <sz val="9"/>
            <color indexed="81"/>
            <rFont val="Tahoma"/>
            <family val="2"/>
          </rPr>
          <t xml:space="preserve">
BZ: if only a specified "attribute" is being copied, it can be multiplied and be added by a "plus" value (like y=ax+b). Notice: "multiply" and "plus" work together. If one has a value, the other should be specified too, even with zero.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1" authorId="0" shapeId="0" xr:uid="{00000000-0006-0000-0F00-000001000000}">
      <text>
        <r>
          <rPr>
            <b/>
            <sz val="9"/>
            <color indexed="81"/>
            <rFont val="Tahoma"/>
            <family val="2"/>
          </rPr>
          <t>admin:</t>
        </r>
        <r>
          <rPr>
            <sz val="9"/>
            <color indexed="81"/>
            <rFont val="Tahoma"/>
            <family val="2"/>
          </rPr>
          <t xml:space="preserve">
BZ: a list of columns from the examined parameter seperated by comma. The python function gets a dataframe from the parameter using these columns.</t>
        </r>
      </text>
    </comment>
    <comment ref="C1" authorId="0" shapeId="0" xr:uid="{00000000-0006-0000-0F00-000002000000}">
      <text>
        <r>
          <rPr>
            <b/>
            <sz val="9"/>
            <color indexed="81"/>
            <rFont val="Tahoma"/>
            <family val="2"/>
          </rPr>
          <t>admin:</t>
        </r>
        <r>
          <rPr>
            <sz val="9"/>
            <color indexed="81"/>
            <rFont val="Tahoma"/>
            <family val="2"/>
          </rPr>
          <t xml:space="preserve">
BZ: the corresponding value of columns specidied under "columns" seperated by comma.  </t>
        </r>
      </text>
    </comment>
    <comment ref="D1" authorId="0" shapeId="0" xr:uid="{00000000-0006-0000-0F00-000003000000}">
      <text>
        <r>
          <rPr>
            <b/>
            <sz val="9"/>
            <color indexed="81"/>
            <rFont val="Tahoma"/>
            <family val="2"/>
          </rPr>
          <t>admin:</t>
        </r>
        <r>
          <rPr>
            <sz val="9"/>
            <color indexed="81"/>
            <rFont val="Tahoma"/>
            <family val="2"/>
          </rPr>
          <t xml:space="preserve">
BZ: the attribute to be replaced</t>
        </r>
      </text>
    </comment>
    <comment ref="E1" authorId="0" shapeId="0" xr:uid="{00000000-0006-0000-0F00-000004000000}">
      <text>
        <r>
          <rPr>
            <b/>
            <sz val="9"/>
            <color indexed="81"/>
            <rFont val="Tahoma"/>
            <family val="2"/>
          </rPr>
          <t>admin:</t>
        </r>
        <r>
          <rPr>
            <sz val="9"/>
            <color indexed="81"/>
            <rFont val="Tahoma"/>
            <family val="2"/>
          </rPr>
          <t xml:space="preserve">
BZ: the desirable value for "attribute".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D1" authorId="0" shapeId="0" xr:uid="{00000000-0006-0000-1000-000001000000}">
      <text>
        <r>
          <rPr>
            <b/>
            <sz val="9"/>
            <color indexed="81"/>
            <rFont val="Tahoma"/>
            <family val="2"/>
          </rPr>
          <t>admin:</t>
        </r>
        <r>
          <rPr>
            <sz val="9"/>
            <color indexed="81"/>
            <rFont val="Tahoma"/>
            <family val="2"/>
          </rPr>
          <t xml:space="preserve">
BZ: this attribute will be removed from the parameter for the given column and row. If this will be empty, all the parameter will be removed for the given column and row.</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D1" authorId="0" shapeId="0" xr:uid="{00000000-0006-0000-1100-000001000000}">
      <text>
        <r>
          <rPr>
            <b/>
            <sz val="9"/>
            <color indexed="81"/>
            <rFont val="Tahoma"/>
            <family val="2"/>
          </rPr>
          <t>admin:</t>
        </r>
        <r>
          <rPr>
            <sz val="9"/>
            <color indexed="81"/>
            <rFont val="Tahoma"/>
            <family val="2"/>
          </rPr>
          <t xml:space="preserve">
I have put a lifetime of 60 year for u5_imp for now.</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1" authorId="0" shapeId="0" xr:uid="{00000000-0006-0000-1200-000001000000}">
      <text>
        <r>
          <rPr>
            <b/>
            <sz val="9"/>
            <color indexed="81"/>
            <rFont val="Tahoma"/>
            <family val="2"/>
          </rPr>
          <t>admin:</t>
        </r>
        <r>
          <rPr>
            <sz val="9"/>
            <color indexed="81"/>
            <rFont val="Tahoma"/>
            <family val="2"/>
          </rPr>
          <t xml:space="preserve">
BZ: Make sure the technology has technical lifetime in msgDS or in the technical lifetime sheet in this book</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1" authorId="0" shapeId="0" xr:uid="{00000000-0006-0000-1300-000001000000}">
      <text>
        <r>
          <rPr>
            <b/>
            <sz val="9"/>
            <color indexed="81"/>
            <rFont val="Tahoma"/>
            <family val="2"/>
          </rPr>
          <t>admin:</t>
        </r>
        <r>
          <rPr>
            <sz val="9"/>
            <color indexed="81"/>
            <rFont val="Tahoma"/>
            <family val="2"/>
          </rPr>
          <t xml:space="preserve">
BZ: Make sure the technology has technical lifetime in msgDS or in the technical lifetime sheet in this book</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F1" authorId="0" shapeId="0" xr:uid="{00000000-0006-0000-1400-000001000000}">
      <text>
        <r>
          <rPr>
            <b/>
            <sz val="9"/>
            <color indexed="81"/>
            <rFont val="Tahoma"/>
            <family val="2"/>
          </rPr>
          <t>admin:</t>
        </r>
        <r>
          <rPr>
            <sz val="9"/>
            <color indexed="81"/>
            <rFont val="Tahoma"/>
            <family val="2"/>
          </rPr>
          <t xml:space="preserve">
BZ: if add_tec is "yse", the parameter for this technology will be added to the model. (to save time not readding those alreadyadded) </t>
        </r>
      </text>
    </comment>
  </commentList>
</comments>
</file>

<file path=xl/sharedStrings.xml><?xml version="1.0" encoding="utf-8"?>
<sst xmlns="http://schemas.openxmlformats.org/spreadsheetml/2006/main" count="7802" uniqueCount="288">
  <si>
    <t>1990</t>
  </si>
  <si>
    <t>1995</t>
  </si>
  <si>
    <t>2000</t>
  </si>
  <si>
    <t>2005</t>
  </si>
  <si>
    <t>2010</t>
  </si>
  <si>
    <t>year</t>
  </si>
  <si>
    <t>technology</t>
  </si>
  <si>
    <t>node_loc</t>
  </si>
  <si>
    <t>unit</t>
  </si>
  <si>
    <t>value</t>
  </si>
  <si>
    <t>year_act</t>
  </si>
  <si>
    <t>mode</t>
  </si>
  <si>
    <t>time</t>
  </si>
  <si>
    <t>%</t>
  </si>
  <si>
    <t>u5_imp</t>
  </si>
  <si>
    <t>oil_imp</t>
  </si>
  <si>
    <t>loil_imp</t>
  </si>
  <si>
    <t>foil_imp</t>
  </si>
  <si>
    <t>gas_imp</t>
  </si>
  <si>
    <t>elec_imp</t>
  </si>
  <si>
    <t>coal_imp</t>
  </si>
  <si>
    <t>node</t>
  </si>
  <si>
    <t>oil_exp</t>
  </si>
  <si>
    <t>loil_exp</t>
  </si>
  <si>
    <t>foil_exp</t>
  </si>
  <si>
    <t>gas_exp</t>
  </si>
  <si>
    <t>coal_exp</t>
  </si>
  <si>
    <t>M1</t>
  </si>
  <si>
    <t>GWa</t>
  </si>
  <si>
    <t>parameter</t>
  </si>
  <si>
    <t>from</t>
  </si>
  <si>
    <t>to</t>
  </si>
  <si>
    <t>gas_extr_mpen</t>
  </si>
  <si>
    <t>commodity</t>
  </si>
  <si>
    <t>level</t>
  </si>
  <si>
    <t>node_origin</t>
  </si>
  <si>
    <t>time_origin</t>
  </si>
  <si>
    <t>vtg_years</t>
  </si>
  <si>
    <t>bio_extr_a</t>
  </si>
  <si>
    <t>biomass</t>
  </si>
  <si>
    <t>renewable</t>
  </si>
  <si>
    <t>bio_extr_b</t>
  </si>
  <si>
    <t>bio_extr_c</t>
  </si>
  <si>
    <t>bio_extr_d</t>
  </si>
  <si>
    <t>bio_extr_e</t>
  </si>
  <si>
    <t>bio_extr_f</t>
  </si>
  <si>
    <t>hydro_hc</t>
  </si>
  <si>
    <t>hydro</t>
  </si>
  <si>
    <t>bio_extr_g</t>
  </si>
  <si>
    <t>wind_ppl</t>
  </si>
  <si>
    <t>wind</t>
  </si>
  <si>
    <t>secondary</t>
  </si>
  <si>
    <t>solar_pv</t>
  </si>
  <si>
    <t>electr</t>
  </si>
  <si>
    <t>solar_th</t>
  </si>
  <si>
    <t>rem_attribute</t>
  </si>
  <si>
    <t>rem_value</t>
  </si>
  <si>
    <t>attribute</t>
  </si>
  <si>
    <t>multiply</t>
  </si>
  <si>
    <t>plus</t>
  </si>
  <si>
    <t>node_rel</t>
  </si>
  <si>
    <t>relation</t>
  </si>
  <si>
    <t>year_rel</t>
  </si>
  <si>
    <t>bio_extr_mpen_c</t>
  </si>
  <si>
    <t>bio_extr_mpen</t>
  </si>
  <si>
    <t>i_spec</t>
  </si>
  <si>
    <t>useful</t>
  </si>
  <si>
    <t>i_therm</t>
  </si>
  <si>
    <t>i_feed</t>
  </si>
  <si>
    <t>rc_spec</t>
  </si>
  <si>
    <t>rc_therm</t>
  </si>
  <si>
    <t>transport</t>
  </si>
  <si>
    <t>non-comm</t>
  </si>
  <si>
    <t>Yes</t>
  </si>
  <si>
    <t>resource</t>
  </si>
  <si>
    <t>e</t>
  </si>
  <si>
    <t>uranium</t>
  </si>
  <si>
    <t>d</t>
  </si>
  <si>
    <t>c</t>
  </si>
  <si>
    <t>b</t>
  </si>
  <si>
    <t>a</t>
  </si>
  <si>
    <t>lignite</t>
  </si>
  <si>
    <t>coal</t>
  </si>
  <si>
    <t>gas_7</t>
  </si>
  <si>
    <t>gas_6</t>
  </si>
  <si>
    <t>gas_5</t>
  </si>
  <si>
    <t>gas_4</t>
  </si>
  <si>
    <t>gas_3</t>
  </si>
  <si>
    <t>gas_2</t>
  </si>
  <si>
    <t>gas_1</t>
  </si>
  <si>
    <t>crude_7</t>
  </si>
  <si>
    <t>crude_6</t>
  </si>
  <si>
    <t>crude_5</t>
  </si>
  <si>
    <t>crude_4</t>
  </si>
  <si>
    <t>crude_3</t>
  </si>
  <si>
    <t>crude_2</t>
  </si>
  <si>
    <t>crude_1</t>
  </si>
  <si>
    <t>Percentage</t>
  </si>
  <si>
    <t>UsingPercent</t>
  </si>
  <si>
    <t>Volume</t>
  </si>
  <si>
    <t>Level</t>
  </si>
  <si>
    <t>Grade</t>
  </si>
  <si>
    <t>Commodity</t>
  </si>
  <si>
    <t>ResourceRemaining</t>
  </si>
  <si>
    <t>meth_exp</t>
  </si>
  <si>
    <t>eth_exp</t>
  </si>
  <si>
    <t>LNG_exp</t>
  </si>
  <si>
    <t>c1</t>
  </si>
  <si>
    <t>c2</t>
  </si>
  <si>
    <t>c6</t>
  </si>
  <si>
    <t>c5</t>
  </si>
  <si>
    <t>c4</t>
  </si>
  <si>
    <t>c3</t>
  </si>
  <si>
    <t>c8</t>
  </si>
  <si>
    <t>c7</t>
  </si>
  <si>
    <t>renewable_capacity_factor</t>
  </si>
  <si>
    <t>renewable_potential</t>
  </si>
  <si>
    <t>grade</t>
  </si>
  <si>
    <t>node_dest</t>
  </si>
  <si>
    <t>add_tec</t>
  </si>
  <si>
    <t>yes</t>
  </si>
  <si>
    <t>limit_tot_BECCS</t>
  </si>
  <si>
    <t>MESSAGE_cost</t>
  </si>
  <si>
    <t>active</t>
  </si>
  <si>
    <t>columns</t>
  </si>
  <si>
    <t>columns_value</t>
  </si>
  <si>
    <t>no</t>
  </si>
  <si>
    <t>extraction_cost</t>
  </si>
  <si>
    <t>cost_multiplier</t>
  </si>
  <si>
    <t>primary</t>
  </si>
  <si>
    <t>coal_extr_mpen</t>
  </si>
  <si>
    <t>historical_activity</t>
  </si>
  <si>
    <t>coal_extr</t>
  </si>
  <si>
    <t>nuc_hc</t>
  </si>
  <si>
    <t>nuc_lc</t>
  </si>
  <si>
    <t>loil_ppl</t>
  </si>
  <si>
    <t>gas_extr_1</t>
  </si>
  <si>
    <t>oil_extr_1</t>
  </si>
  <si>
    <t>oil_extr_mpen</t>
  </si>
  <si>
    <t>US$/kWa</t>
  </si>
  <si>
    <t>eth_imp</t>
  </si>
  <si>
    <t>meth_imp</t>
  </si>
  <si>
    <t>lh2_imp</t>
  </si>
  <si>
    <t>-</t>
  </si>
  <si>
    <t>input</t>
  </si>
  <si>
    <t>Hist_max</t>
  </si>
  <si>
    <t>2010,2015,2020,2025,2030,2035,2040,2045,2050,2055,2060,2070,2080,2090,2100,2110</t>
  </si>
  <si>
    <t>World</t>
  </si>
  <si>
    <t>output</t>
  </si>
  <si>
    <t>previously</t>
  </si>
  <si>
    <t>version</t>
  </si>
  <si>
    <t>land_use_biomass</t>
  </si>
  <si>
    <t>data type</t>
  </si>
  <si>
    <t>base year</t>
  </si>
  <si>
    <t>multiplier</t>
  </si>
  <si>
    <t>rate</t>
  </si>
  <si>
    <t>model</t>
  </si>
  <si>
    <t>biomass_extr</t>
  </si>
  <si>
    <t>USD/kWa</t>
  </si>
  <si>
    <t>node_loc,technology</t>
  </si>
  <si>
    <t>bound_activity_lo</t>
  </si>
  <si>
    <t>gas_bal</t>
  </si>
  <si>
    <t>must be done</t>
  </si>
  <si>
    <t>data from</t>
  </si>
  <si>
    <t>No</t>
  </si>
  <si>
    <t>hydro_lc</t>
  </si>
  <si>
    <t>solar_pv_ppl</t>
  </si>
  <si>
    <t>solar_th_ppl</t>
  </si>
  <si>
    <t>bio_ppl</t>
  </si>
  <si>
    <t>coal_ppl</t>
  </si>
  <si>
    <t>foil_ppl</t>
  </si>
  <si>
    <t>gas_cc</t>
  </si>
  <si>
    <t>gas_ct</t>
  </si>
  <si>
    <t>gas_ppl</t>
  </si>
  <si>
    <t>year_vtg</t>
  </si>
  <si>
    <t>GW</t>
  </si>
  <si>
    <t>1975</t>
  </si>
  <si>
    <t>1980</t>
  </si>
  <si>
    <t>1985</t>
  </si>
  <si>
    <t>2015</t>
  </si>
  <si>
    <t>Pakistan</t>
  </si>
  <si>
    <t>Pakistan,nuc_lc</t>
  </si>
  <si>
    <t>Pakistan,nuc_hc</t>
  </si>
  <si>
    <t>capacity_factor</t>
  </si>
  <si>
    <t>1960</t>
  </si>
  <si>
    <t>1965</t>
  </si>
  <si>
    <t>1970</t>
  </si>
  <si>
    <t xml:space="preserve">Data based on NREL </t>
  </si>
  <si>
    <t>crudeoil</t>
  </si>
  <si>
    <t>export</t>
  </si>
  <si>
    <t>inv_cost</t>
  </si>
  <si>
    <t xml:space="preserve">for every year </t>
  </si>
  <si>
    <t>technology,year_vtg</t>
  </si>
  <si>
    <t>wind_ppl,2020</t>
  </si>
  <si>
    <t xml:space="preserve">for single year </t>
  </si>
  <si>
    <t>gas</t>
  </si>
  <si>
    <t xml:space="preserve">to check </t>
  </si>
  <si>
    <t>relation,technology</t>
  </si>
  <si>
    <t>it was previously 0.048</t>
  </si>
  <si>
    <t>relation_activity</t>
  </si>
  <si>
    <t>UE_transport_electric_Minimum,useful_transport</t>
  </si>
  <si>
    <t>initial_new_capacity_up</t>
  </si>
  <si>
    <t xml:space="preserve">previously 0.06 obtained as 20% of global model but it needs to be increased and needs to be changed for all years </t>
  </si>
  <si>
    <t>shares</t>
  </si>
  <si>
    <t>node_share</t>
  </si>
  <si>
    <t>share_renew_electr</t>
  </si>
  <si>
    <t>LNG_imp</t>
  </si>
  <si>
    <t xml:space="preserve">Prospects of renewables penetration in the energy mix of Pakistan - Suhail Zaki </t>
  </si>
  <si>
    <t>c0</t>
  </si>
  <si>
    <t>c9</t>
  </si>
  <si>
    <t>Image_hydro_cost_Curves</t>
  </si>
  <si>
    <t>c10</t>
  </si>
  <si>
    <t>c11</t>
  </si>
  <si>
    <t>c12</t>
  </si>
  <si>
    <t>c13</t>
  </si>
  <si>
    <t xml:space="preserve">12 million cubic meteres </t>
  </si>
  <si>
    <t xml:space="preserve">1 cubmic meter is approx. 6 KWh </t>
  </si>
  <si>
    <t>fuel_price,coal_imp</t>
  </si>
  <si>
    <t>145.25</t>
  </si>
  <si>
    <t>fuel_price,coal_imp,2015</t>
  </si>
  <si>
    <t>fuel_price,coal_imp,2020</t>
  </si>
  <si>
    <t>fuel_price,coal_imp,2025</t>
  </si>
  <si>
    <t>fuel_price,coal_imp,2030</t>
  </si>
  <si>
    <t>fuel_price,coal_imp,2035</t>
  </si>
  <si>
    <t>fuel_price,coal_imp,2040</t>
  </si>
  <si>
    <t>fuel_price,coal_imp,2045</t>
  </si>
  <si>
    <t>fuel_price,coal_imp,2050</t>
  </si>
  <si>
    <t>fuel_price,coal_imp,2060</t>
  </si>
  <si>
    <t>fuel_price,coal_imp,2070</t>
  </si>
  <si>
    <t>fuel_price,coal_imp,2080</t>
  </si>
  <si>
    <t>fuel_price,coal_imp,2090</t>
  </si>
  <si>
    <t>fuel_price,coal_imp,2100</t>
  </si>
  <si>
    <t>fuel_price,coal_imp,2110</t>
  </si>
  <si>
    <t xml:space="preserve">changing fuel price as per local data </t>
  </si>
  <si>
    <t>fuel_price,coal_imp,2055</t>
  </si>
  <si>
    <t xml:space="preserve">unit </t>
  </si>
  <si>
    <t>Gwa/a</t>
  </si>
  <si>
    <t>elec_rc</t>
  </si>
  <si>
    <t>gas_extr_2</t>
  </si>
  <si>
    <t>GWa/a</t>
  </si>
  <si>
    <t>coal_t_d</t>
  </si>
  <si>
    <t>biomass_t_d</t>
  </si>
  <si>
    <t>loil_t_d</t>
  </si>
  <si>
    <t>elec_t_d</t>
  </si>
  <si>
    <t>heat_t_d</t>
  </si>
  <si>
    <t>syn_liq</t>
  </si>
  <si>
    <t>sp_el_RC</t>
  </si>
  <si>
    <t>sp_el_I</t>
  </si>
  <si>
    <t>solar_rc</t>
  </si>
  <si>
    <t>ref_lol</t>
  </si>
  <si>
    <t>ref_hil</t>
  </si>
  <si>
    <t>meth_ng</t>
  </si>
  <si>
    <t>meth_coal</t>
  </si>
  <si>
    <t>loil_trp</t>
  </si>
  <si>
    <t>loil_rc</t>
  </si>
  <si>
    <t>loil_i</t>
  </si>
  <si>
    <t>loil_fs</t>
  </si>
  <si>
    <t>landfill_ele</t>
  </si>
  <si>
    <t>hp_gas_i</t>
  </si>
  <si>
    <t>hp_el_i</t>
  </si>
  <si>
    <t>heat_rc</t>
  </si>
  <si>
    <t>heat_i</t>
  </si>
  <si>
    <t>gas_trp</t>
  </si>
  <si>
    <t>gas_t_d</t>
  </si>
  <si>
    <t>gas_rc</t>
  </si>
  <si>
    <t>gas_i</t>
  </si>
  <si>
    <t>gas_fs</t>
  </si>
  <si>
    <t>foil_trp</t>
  </si>
  <si>
    <t>foil_rc</t>
  </si>
  <si>
    <t>foil_i</t>
  </si>
  <si>
    <t>foil_fs</t>
  </si>
  <si>
    <t>ethanol_fs</t>
  </si>
  <si>
    <t>eth_ic_trp</t>
  </si>
  <si>
    <t>eth_i</t>
  </si>
  <si>
    <t>eth_bio</t>
  </si>
  <si>
    <t>elec_trp</t>
  </si>
  <si>
    <t>elec_i</t>
  </si>
  <si>
    <t>elec_exp</t>
  </si>
  <si>
    <t>csp_sm1_ppl</t>
  </si>
  <si>
    <t>coal_trp</t>
  </si>
  <si>
    <t>coal_rc</t>
  </si>
  <si>
    <t>coal_ppl_u</t>
  </si>
  <si>
    <t>coal_i</t>
  </si>
  <si>
    <t>coal_gas</t>
  </si>
  <si>
    <t>coal_fs</t>
  </si>
  <si>
    <t>biomass_rc</t>
  </si>
  <si>
    <t>biomass_nc</t>
  </si>
  <si>
    <t>biomass_i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</si>
</sst>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1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1"/>
      <color rgb="FF9C0006"/>
      <name val="Calibri"/>
      <family val="2"/>
      <scheme val="minor"/>
    </font>
    <font>
      <sz val="11"/>
      <color theme="1"/>
      <name val="Calibri"/>
      <family val="2"/>
      <scheme val="minor"/>
    </font>
    <font>
      <sz val="11"/>
      <color rgb="FF006100"/>
      <name val="Calibri"/>
      <family val="2"/>
      <scheme val="minor"/>
    </font>
    <font>
      <sz val="10"/>
      <name val="Arial"/>
      <family val="2"/>
    </font>
    <font>
      <b/>
      <sz val="10"/>
      <name val="Arial"/>
      <family val="2"/>
    </font>
    <font>
      <sz val="11"/>
      <color rgb="FF3F3F76"/>
      <name val="Calibri"/>
      <family val="2"/>
      <scheme val="minor"/>
    </font>
    <font>
      <sz val="8"/>
      <name val="Calibri"/>
      <family val="2"/>
      <scheme val="minor"/>
    </font>
    <font>
      <b/>
      <sz val="9"/>
      <color rgb="FF000000"/>
      <name val="Tahoma"/>
      <family val="2"/>
    </font>
    <font>
      <sz val="9"/>
      <color rgb="FF000000"/>
      <name val="Tahoma"/>
      <family val="2"/>
    </font>
    <font>
      <sz val="11"/>
      <color rgb="FF000000"/>
      <name val="Calibri"/>
      <family val="2"/>
      <scheme val="minor"/>
    </font>
  </fonts>
  <fills count="16">
    <fill>
      <patternFill patternType="none"/>
    </fill>
    <fill>
      <patternFill patternType="gray125"/>
    </fill>
    <fill>
      <patternFill patternType="solid">
        <fgColor rgb="FFFFC000"/>
        <bgColor indexed="64"/>
      </patternFill>
    </fill>
    <fill>
      <patternFill patternType="solid">
        <fgColor rgb="FFFFC7CE"/>
      </patternFill>
    </fill>
    <fill>
      <patternFill patternType="solid">
        <fgColor theme="5" tint="0.59999389629810485"/>
        <bgColor indexed="64"/>
      </patternFill>
    </fill>
    <fill>
      <patternFill patternType="solid">
        <fgColor rgb="FFC6EFCE"/>
      </patternFill>
    </fill>
    <fill>
      <patternFill patternType="solid">
        <fgColor theme="2" tint="-9.9978637043366805E-2"/>
        <bgColor indexed="64"/>
      </patternFill>
    </fill>
    <fill>
      <patternFill patternType="solid">
        <fgColor rgb="FFFFCC99"/>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4"/>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4.9989318521683403E-2"/>
        <bgColor indexed="64"/>
      </patternFill>
    </fill>
  </fills>
  <borders count="20">
    <border>
      <left/>
      <right/>
      <top/>
      <bottom/>
      <diagonal/>
    </border>
    <border>
      <left/>
      <right/>
      <top/>
      <bottom style="thin">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5">
    <xf numFmtId="0" fontId="0" fillId="0" borderId="0"/>
    <xf numFmtId="0" fontId="4" fillId="3" borderId="0" applyNumberFormat="0" applyBorder="0" applyAlignment="0" applyProtection="0"/>
    <xf numFmtId="9" fontId="5" fillId="0" borderId="0" applyFont="0" applyFill="0" applyBorder="0" applyAlignment="0" applyProtection="0"/>
    <xf numFmtId="0" fontId="6" fillId="5" borderId="0" applyNumberFormat="0" applyBorder="0" applyAlignment="0" applyProtection="0"/>
    <xf numFmtId="0" fontId="9" fillId="7" borderId="11" applyNumberFormat="0" applyAlignment="0" applyProtection="0"/>
  </cellStyleXfs>
  <cellXfs count="98">
    <xf numFmtId="0" fontId="0" fillId="0" borderId="0" xfId="0"/>
    <xf numFmtId="0" fontId="0" fillId="0" borderId="0" xfId="0" quotePrefix="1"/>
    <xf numFmtId="0" fontId="1" fillId="0" borderId="1" xfId="0" applyFont="1" applyBorder="1" applyAlignment="1">
      <alignment horizontal="center"/>
    </xf>
    <xf numFmtId="0" fontId="1" fillId="0" borderId="1" xfId="0" quotePrefix="1" applyFont="1" applyBorder="1" applyAlignment="1">
      <alignment horizontal="center"/>
    </xf>
    <xf numFmtId="0" fontId="0" fillId="0" borderId="0" xfId="0" applyAlignment="1">
      <alignment horizontal="center"/>
    </xf>
    <xf numFmtId="0" fontId="1" fillId="2" borderId="1" xfId="0" applyFont="1" applyFill="1" applyBorder="1" applyAlignment="1">
      <alignment horizontal="center"/>
    </xf>
    <xf numFmtId="0" fontId="4" fillId="3" borderId="0" xfId="1"/>
    <xf numFmtId="0" fontId="0" fillId="0" borderId="4" xfId="0" quotePrefix="1" applyBorder="1"/>
    <xf numFmtId="0" fontId="0" fillId="0" borderId="6" xfId="0" quotePrefix="1" applyBorder="1"/>
    <xf numFmtId="0" fontId="1" fillId="0" borderId="0" xfId="0" applyFont="1"/>
    <xf numFmtId="0" fontId="0" fillId="2" borderId="0" xfId="0" applyFill="1"/>
    <xf numFmtId="0" fontId="1" fillId="0" borderId="0" xfId="0" applyFont="1" applyAlignment="1">
      <alignment horizontal="center"/>
    </xf>
    <xf numFmtId="0" fontId="1" fillId="0" borderId="1" xfId="0" applyFont="1" applyBorder="1"/>
    <xf numFmtId="0" fontId="0" fillId="0" borderId="7" xfId="0" applyBorder="1"/>
    <xf numFmtId="0" fontId="0" fillId="0" borderId="7" xfId="0" quotePrefix="1" applyBorder="1"/>
    <xf numFmtId="0" fontId="0" fillId="0" borderId="1" xfId="0" applyBorder="1"/>
    <xf numFmtId="0" fontId="0" fillId="0" borderId="1" xfId="0" quotePrefix="1" applyBorder="1"/>
    <xf numFmtId="0" fontId="7" fillId="0" borderId="0" xfId="0" applyFont="1"/>
    <xf numFmtId="0" fontId="0" fillId="4" borderId="1" xfId="0" applyFill="1" applyBorder="1"/>
    <xf numFmtId="0" fontId="8" fillId="0" borderId="2" xfId="0" applyFont="1" applyBorder="1" applyAlignment="1">
      <alignment horizontal="center" vertical="top"/>
    </xf>
    <xf numFmtId="0" fontId="8" fillId="9" borderId="0" xfId="0" applyFont="1" applyFill="1" applyAlignment="1">
      <alignment horizontal="center" vertical="top"/>
    </xf>
    <xf numFmtId="1" fontId="0" fillId="8" borderId="0" xfId="0" applyNumberFormat="1" applyFill="1"/>
    <xf numFmtId="0" fontId="0" fillId="8" borderId="0" xfId="0" applyFill="1"/>
    <xf numFmtId="0" fontId="0" fillId="10" borderId="0" xfId="0" applyFill="1" applyAlignment="1">
      <alignment horizontal="center"/>
    </xf>
    <xf numFmtId="0" fontId="0" fillId="10" borderId="0" xfId="0" applyFill="1"/>
    <xf numFmtId="1" fontId="0" fillId="4" borderId="0" xfId="0" applyNumberFormat="1" applyFill="1"/>
    <xf numFmtId="0" fontId="8" fillId="11" borderId="0" xfId="0" applyFont="1" applyFill="1" applyAlignment="1">
      <alignment horizontal="center" vertical="top"/>
    </xf>
    <xf numFmtId="0" fontId="8" fillId="11" borderId="2" xfId="0" applyFont="1" applyFill="1" applyBorder="1" applyAlignment="1">
      <alignment horizontal="left" vertical="top"/>
    </xf>
    <xf numFmtId="0" fontId="7" fillId="0" borderId="7" xfId="0" applyFont="1" applyBorder="1"/>
    <xf numFmtId="0" fontId="0" fillId="10" borderId="7" xfId="0" applyFill="1" applyBorder="1"/>
    <xf numFmtId="0" fontId="0" fillId="10" borderId="7" xfId="0" applyFill="1" applyBorder="1" applyAlignment="1">
      <alignment horizontal="center"/>
    </xf>
    <xf numFmtId="1" fontId="0" fillId="8" borderId="7" xfId="0" applyNumberFormat="1" applyFill="1" applyBorder="1"/>
    <xf numFmtId="1" fontId="0" fillId="4" borderId="7" xfId="0" applyNumberFormat="1" applyFill="1" applyBorder="1"/>
    <xf numFmtId="0" fontId="7" fillId="0" borderId="1" xfId="0" applyFont="1" applyBorder="1"/>
    <xf numFmtId="0" fontId="0" fillId="10" borderId="1" xfId="0" applyFill="1" applyBorder="1"/>
    <xf numFmtId="0" fontId="0" fillId="10" borderId="1" xfId="0" applyFill="1" applyBorder="1" applyAlignment="1">
      <alignment horizontal="center"/>
    </xf>
    <xf numFmtId="1" fontId="0" fillId="8" borderId="1" xfId="0" applyNumberFormat="1" applyFill="1" applyBorder="1"/>
    <xf numFmtId="1" fontId="0" fillId="4" borderId="1" xfId="0" applyNumberFormat="1" applyFill="1" applyBorder="1"/>
    <xf numFmtId="165" fontId="0" fillId="0" borderId="0" xfId="2" applyNumberFormat="1" applyFont="1"/>
    <xf numFmtId="165" fontId="0" fillId="0" borderId="7" xfId="2" applyNumberFormat="1" applyFont="1" applyBorder="1"/>
    <xf numFmtId="0" fontId="9" fillId="7" borderId="12" xfId="4" applyBorder="1"/>
    <xf numFmtId="0" fontId="9" fillId="7" borderId="12" xfId="4" applyBorder="1" applyAlignment="1" applyProtection="1">
      <alignment horizontal="center" vertical="top"/>
    </xf>
    <xf numFmtId="165" fontId="0" fillId="0" borderId="0" xfId="2" applyNumberFormat="1" applyFont="1" applyBorder="1"/>
    <xf numFmtId="165" fontId="0" fillId="0" borderId="1" xfId="2" applyNumberFormat="1" applyFont="1" applyBorder="1"/>
    <xf numFmtId="2" fontId="0" fillId="10" borderId="0" xfId="0" applyNumberFormat="1" applyFill="1"/>
    <xf numFmtId="2" fontId="0" fillId="10" borderId="7" xfId="0" applyNumberFormat="1" applyFill="1" applyBorder="1"/>
    <xf numFmtId="2" fontId="0" fillId="10" borderId="1" xfId="0" applyNumberFormat="1" applyFill="1" applyBorder="1"/>
    <xf numFmtId="3" fontId="4" fillId="3" borderId="0" xfId="1" quotePrefix="1" applyNumberFormat="1"/>
    <xf numFmtId="0" fontId="0" fillId="12" borderId="0" xfId="0" applyFill="1"/>
    <xf numFmtId="0" fontId="0" fillId="13" borderId="0" xfId="0" applyFill="1"/>
    <xf numFmtId="0" fontId="0" fillId="0" borderId="0" xfId="0" applyAlignment="1">
      <alignment horizontal="left"/>
    </xf>
    <xf numFmtId="0" fontId="0" fillId="0" borderId="13" xfId="0" quotePrefix="1" applyBorder="1"/>
    <xf numFmtId="1" fontId="4" fillId="3" borderId="3" xfId="1" applyNumberFormat="1" applyBorder="1"/>
    <xf numFmtId="1" fontId="4" fillId="3" borderId="5" xfId="1" applyNumberFormat="1" applyBorder="1"/>
    <xf numFmtId="0" fontId="1" fillId="0" borderId="9" xfId="0" applyFont="1" applyBorder="1"/>
    <xf numFmtId="0" fontId="1" fillId="0" borderId="10" xfId="0" applyFont="1" applyBorder="1"/>
    <xf numFmtId="0" fontId="1" fillId="0" borderId="8" xfId="0" quotePrefix="1" applyFont="1" applyBorder="1"/>
    <xf numFmtId="0" fontId="1" fillId="0" borderId="9" xfId="0" quotePrefix="1" applyFont="1" applyBorder="1"/>
    <xf numFmtId="0" fontId="0" fillId="6" borderId="0" xfId="0" applyFill="1"/>
    <xf numFmtId="0" fontId="4" fillId="3" borderId="0" xfId="1" applyBorder="1"/>
    <xf numFmtId="164" fontId="0" fillId="0" borderId="0" xfId="0" applyNumberFormat="1"/>
    <xf numFmtId="0" fontId="1" fillId="0" borderId="14" xfId="0" applyFont="1" applyBorder="1"/>
    <xf numFmtId="0" fontId="0" fillId="0" borderId="15" xfId="0" quotePrefix="1" applyBorder="1"/>
    <xf numFmtId="2" fontId="0" fillId="0" borderId="16" xfId="2" applyNumberFormat="1" applyFont="1" applyFill="1" applyBorder="1"/>
    <xf numFmtId="9" fontId="0" fillId="0" borderId="0" xfId="2" applyFont="1" applyBorder="1"/>
    <xf numFmtId="9" fontId="0" fillId="0" borderId="0" xfId="0" applyNumberFormat="1"/>
    <xf numFmtId="0" fontId="0" fillId="0" borderId="16" xfId="0" quotePrefix="1" applyBorder="1"/>
    <xf numFmtId="0" fontId="0" fillId="0" borderId="17" xfId="0" quotePrefix="1" applyBorder="1"/>
    <xf numFmtId="2" fontId="0" fillId="0" borderId="17" xfId="2" applyNumberFormat="1" applyFont="1" applyFill="1" applyBorder="1"/>
    <xf numFmtId="9" fontId="0" fillId="0" borderId="13" xfId="2" applyFont="1" applyBorder="1"/>
    <xf numFmtId="9" fontId="0" fillId="0" borderId="13" xfId="0" applyNumberFormat="1" applyBorder="1"/>
    <xf numFmtId="0" fontId="0" fillId="14" borderId="0" xfId="0" applyFill="1"/>
    <xf numFmtId="0" fontId="0" fillId="15" borderId="0" xfId="0" applyFill="1" applyAlignment="1">
      <alignment horizontal="left"/>
    </xf>
    <xf numFmtId="0" fontId="0" fillId="15" borderId="0" xfId="0" applyFill="1"/>
    <xf numFmtId="0" fontId="0" fillId="15" borderId="1" xfId="0" applyFill="1" applyBorder="1" applyAlignment="1">
      <alignment horizontal="left"/>
    </xf>
    <xf numFmtId="0" fontId="0" fillId="15" borderId="1" xfId="0" applyFill="1" applyBorder="1"/>
    <xf numFmtId="1" fontId="0" fillId="0" borderId="0" xfId="0" applyNumberFormat="1"/>
    <xf numFmtId="0" fontId="0" fillId="4" borderId="7" xfId="0" applyFill="1" applyBorder="1"/>
    <xf numFmtId="164" fontId="0" fillId="4" borderId="1" xfId="0" applyNumberFormat="1" applyFill="1" applyBorder="1"/>
    <xf numFmtId="164" fontId="0" fillId="4" borderId="7" xfId="0" applyNumberFormat="1" applyFill="1" applyBorder="1"/>
    <xf numFmtId="2" fontId="0" fillId="4" borderId="0" xfId="0" applyNumberFormat="1" applyFill="1"/>
    <xf numFmtId="0" fontId="1" fillId="0" borderId="18" xfId="0" applyFont="1" applyBorder="1" applyAlignment="1">
      <alignment horizontal="center" vertical="top"/>
    </xf>
    <xf numFmtId="0" fontId="0" fillId="4" borderId="0" xfId="0" applyFill="1"/>
    <xf numFmtId="164" fontId="0" fillId="4" borderId="0" xfId="0" applyNumberFormat="1" applyFill="1"/>
    <xf numFmtId="0" fontId="1" fillId="0" borderId="0" xfId="0" applyFont="1" applyAlignment="1">
      <alignment horizontal="center" vertical="top"/>
    </xf>
    <xf numFmtId="0" fontId="1" fillId="4" borderId="0" xfId="0" applyFont="1" applyFill="1" applyAlignment="1">
      <alignment horizontal="center" vertical="top"/>
    </xf>
    <xf numFmtId="0" fontId="0" fillId="0" borderId="18" xfId="0" applyBorder="1" applyAlignment="1">
      <alignment horizontal="center" vertical="center"/>
    </xf>
    <xf numFmtId="1" fontId="6" fillId="5" borderId="18" xfId="3" applyNumberFormat="1" applyBorder="1" applyAlignment="1">
      <alignment horizontal="center"/>
    </xf>
    <xf numFmtId="2" fontId="4" fillId="6" borderId="18" xfId="2" applyNumberFormat="1" applyFont="1" applyFill="1" applyBorder="1" applyAlignment="1">
      <alignment horizontal="center"/>
    </xf>
    <xf numFmtId="0" fontId="4" fillId="3" borderId="18" xfId="1" applyBorder="1"/>
    <xf numFmtId="0" fontId="0" fillId="0" borderId="18" xfId="0" applyBorder="1"/>
    <xf numFmtId="0" fontId="0" fillId="0" borderId="18" xfId="0" applyBorder="1" applyAlignment="1">
      <alignment horizontal="center"/>
    </xf>
    <xf numFmtId="1" fontId="4" fillId="3" borderId="18" xfId="1" applyNumberFormat="1" applyBorder="1" applyAlignment="1">
      <alignment horizontal="center"/>
    </xf>
    <xf numFmtId="166" fontId="0" fillId="0" borderId="0" xfId="0" applyNumberFormat="1"/>
    <xf numFmtId="0" fontId="13" fillId="0" borderId="0" xfId="0" applyFont="1"/>
    <xf numFmtId="3" fontId="0" fillId="0" borderId="0" xfId="0" applyNumberFormat="1"/>
    <xf numFmtId="0" fontId="1" fillId="0" borderId="19" xfId="0" applyFont="1" applyBorder="1" applyAlignment="1">
      <alignment horizontal="center" vertical="top"/>
    </xf>
    <xf numFmtId="0" fontId="0" fillId="14" borderId="0" xfId="0" applyFill="1" applyAlignment="1">
      <alignment horizontal="left"/>
    </xf>
  </cellXfs>
  <cellStyles count="5">
    <cellStyle name="Bad" xfId="1" builtinId="27"/>
    <cellStyle name="Good" xfId="3" builtinId="26"/>
    <cellStyle name="Input" xfId="4" builtinId="20"/>
    <cellStyle name="Normal" xfId="0" builtinId="0"/>
    <cellStyle name="Percent" xfId="2" builtinId="5"/>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T21"/>
  <sheetViews>
    <sheetView topLeftCell="B1" workbookViewId="0">
      <selection activeCell="C21" sqref="C21"/>
    </sheetView>
  </sheetViews>
  <sheetFormatPr defaultColWidth="8.77734375" defaultRowHeight="14.4" x14ac:dyDescent="0.3"/>
  <cols>
    <col min="1" max="1" width="11" customWidth="1"/>
    <col min="3" max="3" width="15" customWidth="1"/>
    <col min="4" max="4" width="16.44140625" customWidth="1"/>
    <col min="5" max="5" width="15.109375" customWidth="1"/>
  </cols>
  <sheetData>
    <row r="1" spans="1:20" x14ac:dyDescent="0.3">
      <c r="A1" t="s">
        <v>33</v>
      </c>
      <c r="B1" t="s">
        <v>117</v>
      </c>
      <c r="C1" t="s">
        <v>122</v>
      </c>
      <c r="D1" s="40" t="s">
        <v>128</v>
      </c>
      <c r="E1" s="41" t="s">
        <v>127</v>
      </c>
      <c r="F1" s="6">
        <v>1990</v>
      </c>
      <c r="G1" s="6">
        <v>1995</v>
      </c>
      <c r="H1" s="6">
        <v>2000</v>
      </c>
      <c r="I1" s="6">
        <v>2005</v>
      </c>
      <c r="J1" s="6">
        <v>2010</v>
      </c>
      <c r="K1" s="6">
        <v>2020</v>
      </c>
      <c r="L1" s="6">
        <v>2030</v>
      </c>
      <c r="M1" s="6">
        <v>2040</v>
      </c>
      <c r="N1" s="6">
        <v>2050</v>
      </c>
      <c r="O1" s="6">
        <v>2060</v>
      </c>
      <c r="P1" s="6">
        <v>2070</v>
      </c>
      <c r="Q1" s="6">
        <v>2080</v>
      </c>
      <c r="R1" s="6">
        <v>2090</v>
      </c>
      <c r="S1" s="6">
        <v>2100</v>
      </c>
      <c r="T1" s="6">
        <v>2110</v>
      </c>
    </row>
    <row r="2" spans="1:20" x14ac:dyDescent="0.3">
      <c r="A2" s="13" t="s">
        <v>82</v>
      </c>
      <c r="B2" s="13" t="s">
        <v>80</v>
      </c>
      <c r="C2" s="13" t="s">
        <v>73</v>
      </c>
      <c r="D2" s="32">
        <v>1</v>
      </c>
      <c r="E2" s="32">
        <v>182.90880000000004</v>
      </c>
      <c r="F2" s="39">
        <v>0</v>
      </c>
      <c r="G2" s="39">
        <v>0</v>
      </c>
      <c r="H2" s="39">
        <v>0</v>
      </c>
      <c r="I2" s="39">
        <v>0</v>
      </c>
      <c r="J2" s="39">
        <v>0</v>
      </c>
      <c r="K2" s="39">
        <v>0</v>
      </c>
      <c r="L2" s="39">
        <v>0</v>
      </c>
      <c r="M2" s="39">
        <v>0</v>
      </c>
      <c r="N2" s="39">
        <v>0</v>
      </c>
      <c r="O2" s="39">
        <v>0</v>
      </c>
      <c r="P2" s="39">
        <v>0</v>
      </c>
      <c r="Q2" s="39">
        <v>0</v>
      </c>
      <c r="R2" s="39">
        <v>0</v>
      </c>
      <c r="S2" s="39">
        <v>0</v>
      </c>
      <c r="T2" s="39">
        <v>0</v>
      </c>
    </row>
    <row r="3" spans="1:20" x14ac:dyDescent="0.3">
      <c r="A3" t="s">
        <v>82</v>
      </c>
      <c r="B3" t="s">
        <v>78</v>
      </c>
      <c r="C3" t="s">
        <v>73</v>
      </c>
      <c r="D3" s="25">
        <v>1</v>
      </c>
      <c r="E3" s="25">
        <v>567.64800000000002</v>
      </c>
      <c r="F3" s="42">
        <v>0</v>
      </c>
      <c r="G3" s="42">
        <v>0</v>
      </c>
      <c r="H3" s="42">
        <v>0</v>
      </c>
      <c r="I3" s="42">
        <v>0</v>
      </c>
      <c r="J3" s="42">
        <v>0</v>
      </c>
      <c r="K3" s="42">
        <v>5.1141025641025697E-2</v>
      </c>
      <c r="L3" s="42">
        <v>0.10489487179487174</v>
      </c>
      <c r="M3" s="42">
        <v>0.16140000000000007</v>
      </c>
      <c r="N3" s="42">
        <v>0.22079487179487173</v>
      </c>
      <c r="O3" s="42">
        <v>0.28322564102564102</v>
      </c>
      <c r="P3" s="42">
        <v>0.34885128205128213</v>
      </c>
      <c r="Q3" s="42">
        <v>0.41783076923076923</v>
      </c>
      <c r="R3" s="42">
        <v>0.49033846153846145</v>
      </c>
      <c r="S3" s="42">
        <v>0.56655384615384607</v>
      </c>
      <c r="T3" s="42">
        <v>0.64666923076923077</v>
      </c>
    </row>
    <row r="4" spans="1:20" x14ac:dyDescent="0.3">
      <c r="A4" t="s">
        <v>82</v>
      </c>
      <c r="B4" t="s">
        <v>77</v>
      </c>
      <c r="C4" t="s">
        <v>73</v>
      </c>
      <c r="D4" s="25">
        <v>1</v>
      </c>
      <c r="E4" s="25">
        <v>1009.152</v>
      </c>
      <c r="F4" s="42">
        <v>0</v>
      </c>
      <c r="G4" s="42">
        <v>0</v>
      </c>
      <c r="H4" s="42">
        <v>0</v>
      </c>
      <c r="I4" s="42">
        <v>0</v>
      </c>
      <c r="J4" s="42">
        <v>0</v>
      </c>
      <c r="K4" s="42">
        <v>5.1140506329113863E-2</v>
      </c>
      <c r="L4" s="42">
        <v>0.10489620253164557</v>
      </c>
      <c r="M4" s="42">
        <v>0.16140000000000007</v>
      </c>
      <c r="N4" s="42">
        <v>0.22079367088607599</v>
      </c>
      <c r="O4" s="42">
        <v>0.28322784810126583</v>
      </c>
      <c r="P4" s="42">
        <v>0.34884810126582277</v>
      </c>
      <c r="Q4" s="42">
        <v>0.41783544303797471</v>
      </c>
      <c r="R4" s="42">
        <v>0.49034177215189867</v>
      </c>
      <c r="S4" s="42">
        <v>0.56655696202531636</v>
      </c>
      <c r="T4" s="42">
        <v>0.64667088607594925</v>
      </c>
    </row>
    <row r="5" spans="1:20" x14ac:dyDescent="0.3">
      <c r="A5" s="13" t="s">
        <v>96</v>
      </c>
      <c r="B5" s="13" t="s">
        <v>80</v>
      </c>
      <c r="C5" s="13" t="s">
        <v>73</v>
      </c>
      <c r="D5" s="32">
        <v>1</v>
      </c>
      <c r="E5" s="32">
        <v>92.798621999999995</v>
      </c>
      <c r="F5" s="39">
        <v>0</v>
      </c>
      <c r="G5" s="39">
        <v>0</v>
      </c>
      <c r="H5" s="39">
        <v>0</v>
      </c>
      <c r="I5" s="39">
        <v>0</v>
      </c>
      <c r="J5" s="39">
        <v>0</v>
      </c>
      <c r="K5" s="39">
        <v>0</v>
      </c>
      <c r="L5" s="39">
        <v>0</v>
      </c>
      <c r="M5" s="39">
        <v>0</v>
      </c>
      <c r="N5" s="39">
        <v>0</v>
      </c>
      <c r="O5" s="39">
        <v>0</v>
      </c>
      <c r="P5" s="39">
        <v>0</v>
      </c>
      <c r="Q5" s="39">
        <v>0</v>
      </c>
      <c r="R5" s="39">
        <v>0</v>
      </c>
      <c r="S5" s="39">
        <v>0</v>
      </c>
      <c r="T5" s="39">
        <v>0</v>
      </c>
    </row>
    <row r="6" spans="1:20" x14ac:dyDescent="0.3">
      <c r="A6" t="s">
        <v>95</v>
      </c>
      <c r="B6" t="s">
        <v>80</v>
      </c>
      <c r="C6" t="s">
        <v>73</v>
      </c>
      <c r="D6" s="25">
        <v>1</v>
      </c>
      <c r="E6" s="25">
        <v>146.18106065529955</v>
      </c>
      <c r="F6" s="42">
        <v>0</v>
      </c>
      <c r="G6" s="42">
        <v>0</v>
      </c>
      <c r="H6" s="42">
        <v>0</v>
      </c>
      <c r="I6" s="42">
        <v>0</v>
      </c>
      <c r="J6" s="42">
        <v>0</v>
      </c>
      <c r="K6" s="42">
        <v>0</v>
      </c>
      <c r="L6" s="42">
        <v>0</v>
      </c>
      <c r="M6" s="42">
        <v>0</v>
      </c>
      <c r="N6" s="42">
        <v>0</v>
      </c>
      <c r="O6" s="42">
        <v>0</v>
      </c>
      <c r="P6" s="42">
        <v>0</v>
      </c>
      <c r="Q6" s="42">
        <v>0</v>
      </c>
      <c r="R6" s="42">
        <v>0</v>
      </c>
      <c r="S6" s="42">
        <v>0</v>
      </c>
      <c r="T6" s="42">
        <v>0</v>
      </c>
    </row>
    <row r="7" spans="1:20" x14ac:dyDescent="0.3">
      <c r="A7" t="s">
        <v>94</v>
      </c>
      <c r="B7" t="s">
        <v>80</v>
      </c>
      <c r="C7" t="s">
        <v>73</v>
      </c>
      <c r="D7" s="25">
        <v>1</v>
      </c>
      <c r="E7" s="25">
        <v>213.9950178</v>
      </c>
      <c r="F7" s="42">
        <v>0</v>
      </c>
      <c r="G7" s="42">
        <v>0</v>
      </c>
      <c r="H7" s="42">
        <v>0</v>
      </c>
      <c r="I7" s="42">
        <v>0</v>
      </c>
      <c r="J7" s="42">
        <v>0</v>
      </c>
      <c r="K7" s="42">
        <v>0</v>
      </c>
      <c r="L7" s="42">
        <v>0</v>
      </c>
      <c r="M7" s="42">
        <v>0</v>
      </c>
      <c r="N7" s="42">
        <v>0</v>
      </c>
      <c r="O7" s="42">
        <v>0</v>
      </c>
      <c r="P7" s="42">
        <v>0</v>
      </c>
      <c r="Q7" s="42">
        <v>0</v>
      </c>
      <c r="R7" s="42">
        <v>0</v>
      </c>
      <c r="S7" s="42">
        <v>0</v>
      </c>
      <c r="T7" s="42">
        <v>0</v>
      </c>
    </row>
    <row r="8" spans="1:20" x14ac:dyDescent="0.3">
      <c r="A8" t="s">
        <v>93</v>
      </c>
      <c r="B8" t="s">
        <v>80</v>
      </c>
      <c r="C8" t="s">
        <v>73</v>
      </c>
      <c r="D8" s="25">
        <v>1</v>
      </c>
      <c r="E8" s="25">
        <v>234.70469537557605</v>
      </c>
      <c r="F8" s="42">
        <v>0</v>
      </c>
      <c r="G8" s="42">
        <v>0</v>
      </c>
      <c r="H8" s="42">
        <v>0</v>
      </c>
      <c r="I8" s="42">
        <v>0</v>
      </c>
      <c r="J8" s="42">
        <v>0</v>
      </c>
      <c r="K8" s="42">
        <v>0</v>
      </c>
      <c r="L8" s="42">
        <v>0</v>
      </c>
      <c r="M8" s="42">
        <v>0</v>
      </c>
      <c r="N8" s="42">
        <v>0</v>
      </c>
      <c r="O8" s="42">
        <v>0</v>
      </c>
      <c r="P8" s="42">
        <v>0</v>
      </c>
      <c r="Q8" s="42">
        <v>0</v>
      </c>
      <c r="R8" s="42">
        <v>0</v>
      </c>
      <c r="S8" s="42">
        <v>0</v>
      </c>
      <c r="T8" s="42">
        <v>0</v>
      </c>
    </row>
    <row r="9" spans="1:20" x14ac:dyDescent="0.3">
      <c r="A9" t="s">
        <v>92</v>
      </c>
      <c r="B9" t="s">
        <v>80</v>
      </c>
      <c r="C9" t="s">
        <v>73</v>
      </c>
      <c r="D9" s="25">
        <v>1</v>
      </c>
      <c r="E9" s="25">
        <v>355.83645600000006</v>
      </c>
      <c r="F9" s="42">
        <v>0</v>
      </c>
      <c r="G9" s="42">
        <v>0</v>
      </c>
      <c r="H9" s="42">
        <v>0</v>
      </c>
      <c r="I9" s="42">
        <v>0</v>
      </c>
      <c r="J9" s="42">
        <v>0</v>
      </c>
      <c r="K9" s="42">
        <v>0</v>
      </c>
      <c r="L9" s="42">
        <v>0</v>
      </c>
      <c r="M9" s="42">
        <v>0</v>
      </c>
      <c r="N9" s="42">
        <v>0</v>
      </c>
      <c r="O9" s="42">
        <v>0</v>
      </c>
      <c r="P9" s="42">
        <v>0</v>
      </c>
      <c r="Q9" s="42">
        <v>0</v>
      </c>
      <c r="R9" s="42">
        <v>0</v>
      </c>
      <c r="S9" s="42">
        <v>0</v>
      </c>
      <c r="T9" s="42">
        <v>0</v>
      </c>
    </row>
    <row r="10" spans="1:20" x14ac:dyDescent="0.3">
      <c r="A10" t="s">
        <v>91</v>
      </c>
      <c r="B10" t="s">
        <v>80</v>
      </c>
      <c r="C10" t="s">
        <v>73</v>
      </c>
      <c r="D10" s="25">
        <v>1</v>
      </c>
      <c r="E10" s="25">
        <v>660.24143499880245</v>
      </c>
      <c r="F10" s="42">
        <v>0</v>
      </c>
      <c r="G10" s="42">
        <v>0</v>
      </c>
      <c r="H10" s="42">
        <v>0</v>
      </c>
      <c r="I10" s="42">
        <v>0</v>
      </c>
      <c r="J10" s="42">
        <v>0</v>
      </c>
      <c r="K10" s="42">
        <v>0</v>
      </c>
      <c r="L10" s="42">
        <v>0</v>
      </c>
      <c r="M10" s="42">
        <v>0</v>
      </c>
      <c r="N10" s="42">
        <v>0</v>
      </c>
      <c r="O10" s="42">
        <v>0</v>
      </c>
      <c r="P10" s="42">
        <v>0</v>
      </c>
      <c r="Q10" s="42">
        <v>0</v>
      </c>
      <c r="R10" s="42">
        <v>0</v>
      </c>
      <c r="S10" s="42">
        <v>0</v>
      </c>
      <c r="T10" s="42">
        <v>0</v>
      </c>
    </row>
    <row r="11" spans="1:20" x14ac:dyDescent="0.3">
      <c r="A11" s="15" t="s">
        <v>90</v>
      </c>
      <c r="B11" s="15" t="s">
        <v>80</v>
      </c>
      <c r="C11" s="15" t="s">
        <v>73</v>
      </c>
      <c r="D11" s="37">
        <v>1</v>
      </c>
      <c r="E11" s="37">
        <v>1316.1141709221556</v>
      </c>
      <c r="F11" s="43">
        <v>0</v>
      </c>
      <c r="G11" s="43">
        <v>0</v>
      </c>
      <c r="H11" s="43">
        <v>0</v>
      </c>
      <c r="I11" s="43">
        <v>0</v>
      </c>
      <c r="J11" s="43">
        <v>0</v>
      </c>
      <c r="K11" s="43">
        <v>0</v>
      </c>
      <c r="L11" s="43">
        <v>0</v>
      </c>
      <c r="M11" s="43">
        <v>0</v>
      </c>
      <c r="N11" s="43">
        <v>0</v>
      </c>
      <c r="O11" s="43">
        <v>0</v>
      </c>
      <c r="P11" s="43">
        <v>0</v>
      </c>
      <c r="Q11" s="43">
        <v>0</v>
      </c>
      <c r="R11" s="43">
        <v>0</v>
      </c>
      <c r="S11" s="43">
        <v>0</v>
      </c>
      <c r="T11" s="43">
        <v>0</v>
      </c>
    </row>
    <row r="12" spans="1:20" x14ac:dyDescent="0.3">
      <c r="A12" t="s">
        <v>89</v>
      </c>
      <c r="B12" t="s">
        <v>80</v>
      </c>
      <c r="C12" t="s">
        <v>73</v>
      </c>
      <c r="D12" s="25">
        <v>1</v>
      </c>
      <c r="E12" s="25">
        <v>135</v>
      </c>
      <c r="F12" s="38">
        <v>0</v>
      </c>
      <c r="G12" s="38">
        <v>0</v>
      </c>
      <c r="H12" s="38">
        <v>0</v>
      </c>
      <c r="I12" s="38">
        <v>0</v>
      </c>
      <c r="J12" s="38">
        <v>0</v>
      </c>
      <c r="K12" s="38">
        <v>0</v>
      </c>
      <c r="L12" s="38">
        <v>0</v>
      </c>
      <c r="M12" s="38">
        <v>0</v>
      </c>
      <c r="N12" s="38">
        <v>0</v>
      </c>
      <c r="O12" s="38">
        <v>0</v>
      </c>
      <c r="P12" s="38">
        <v>0</v>
      </c>
      <c r="Q12" s="38">
        <v>0</v>
      </c>
      <c r="R12" s="38">
        <v>0</v>
      </c>
      <c r="S12" s="38">
        <v>0</v>
      </c>
      <c r="T12" s="38">
        <v>0</v>
      </c>
    </row>
    <row r="13" spans="1:20" x14ac:dyDescent="0.3">
      <c r="A13" t="s">
        <v>88</v>
      </c>
      <c r="B13" t="s">
        <v>80</v>
      </c>
      <c r="C13" t="s">
        <v>73</v>
      </c>
      <c r="D13" s="25">
        <v>1</v>
      </c>
      <c r="E13" s="25">
        <v>135</v>
      </c>
      <c r="F13" s="38">
        <v>0</v>
      </c>
      <c r="G13" s="38">
        <v>0</v>
      </c>
      <c r="H13" s="38">
        <v>0</v>
      </c>
      <c r="I13" s="38">
        <v>0</v>
      </c>
      <c r="J13" s="38">
        <v>0</v>
      </c>
      <c r="K13" s="38">
        <v>0</v>
      </c>
      <c r="L13" s="38">
        <v>0</v>
      </c>
      <c r="M13" s="38">
        <v>0</v>
      </c>
      <c r="N13" s="38">
        <v>0</v>
      </c>
      <c r="O13" s="38">
        <v>0</v>
      </c>
      <c r="P13" s="38">
        <v>0</v>
      </c>
      <c r="Q13" s="38">
        <v>0</v>
      </c>
      <c r="R13" s="38">
        <v>0</v>
      </c>
      <c r="S13" s="38">
        <v>0</v>
      </c>
      <c r="T13" s="38">
        <v>0</v>
      </c>
    </row>
    <row r="14" spans="1:20" x14ac:dyDescent="0.3">
      <c r="A14" t="s">
        <v>87</v>
      </c>
      <c r="B14" t="s">
        <v>80</v>
      </c>
      <c r="C14" t="s">
        <v>73</v>
      </c>
      <c r="D14" s="25">
        <v>1</v>
      </c>
      <c r="E14" s="25" t="s">
        <v>218</v>
      </c>
      <c r="F14" s="38">
        <v>0</v>
      </c>
      <c r="G14" s="38">
        <v>0</v>
      </c>
      <c r="H14" s="38">
        <v>0</v>
      </c>
      <c r="I14" s="38">
        <v>0</v>
      </c>
      <c r="J14" s="38">
        <v>0</v>
      </c>
      <c r="K14" s="38">
        <v>0</v>
      </c>
      <c r="L14" s="38">
        <v>0</v>
      </c>
      <c r="M14" s="38">
        <v>0</v>
      </c>
      <c r="N14" s="38">
        <v>0</v>
      </c>
      <c r="O14" s="38">
        <v>0</v>
      </c>
      <c r="P14" s="38">
        <v>0</v>
      </c>
      <c r="Q14" s="38">
        <v>0</v>
      </c>
      <c r="R14" s="38">
        <v>0</v>
      </c>
      <c r="S14" s="38">
        <v>0</v>
      </c>
      <c r="T14" s="38">
        <v>0</v>
      </c>
    </row>
    <row r="15" spans="1:20" x14ac:dyDescent="0.3">
      <c r="A15" t="s">
        <v>86</v>
      </c>
      <c r="B15" t="s">
        <v>80</v>
      </c>
      <c r="C15" t="s">
        <v>73</v>
      </c>
      <c r="D15" s="25">
        <v>1</v>
      </c>
      <c r="E15" s="25">
        <v>146</v>
      </c>
      <c r="F15" s="42">
        <v>0</v>
      </c>
      <c r="G15" s="42">
        <v>0</v>
      </c>
      <c r="H15" s="42">
        <v>0</v>
      </c>
      <c r="I15" s="42">
        <v>0</v>
      </c>
      <c r="J15" s="42">
        <v>0</v>
      </c>
      <c r="K15" s="42">
        <v>0</v>
      </c>
      <c r="L15" s="42">
        <v>0</v>
      </c>
      <c r="M15" s="42">
        <v>0</v>
      </c>
      <c r="N15" s="42">
        <v>0</v>
      </c>
      <c r="O15" s="42">
        <v>0</v>
      </c>
      <c r="P15" s="42">
        <v>0</v>
      </c>
      <c r="Q15" s="42">
        <v>0</v>
      </c>
      <c r="R15" s="42">
        <v>0</v>
      </c>
      <c r="S15" s="42">
        <v>0</v>
      </c>
      <c r="T15" s="42">
        <v>0</v>
      </c>
    </row>
    <row r="16" spans="1:20" x14ac:dyDescent="0.3">
      <c r="A16" t="s">
        <v>85</v>
      </c>
      <c r="B16" t="s">
        <v>80</v>
      </c>
      <c r="C16" t="s">
        <v>73</v>
      </c>
      <c r="D16" s="25">
        <v>1</v>
      </c>
      <c r="E16" s="25">
        <v>147</v>
      </c>
      <c r="F16" s="42">
        <v>0</v>
      </c>
      <c r="G16" s="42">
        <v>0</v>
      </c>
      <c r="H16" s="42">
        <v>0</v>
      </c>
      <c r="I16" s="42">
        <v>0</v>
      </c>
      <c r="J16" s="42">
        <v>0</v>
      </c>
      <c r="K16" s="42">
        <v>0</v>
      </c>
      <c r="L16" s="42">
        <v>0</v>
      </c>
      <c r="M16" s="42">
        <v>0</v>
      </c>
      <c r="N16" s="42">
        <v>0</v>
      </c>
      <c r="O16" s="42">
        <v>0</v>
      </c>
      <c r="P16" s="42">
        <v>0</v>
      </c>
      <c r="Q16" s="42">
        <v>0</v>
      </c>
      <c r="R16" s="42">
        <v>0</v>
      </c>
      <c r="S16" s="42">
        <v>0</v>
      </c>
      <c r="T16" s="42">
        <v>0</v>
      </c>
    </row>
    <row r="17" spans="1:20" x14ac:dyDescent="0.3">
      <c r="A17" t="s">
        <v>84</v>
      </c>
      <c r="B17" t="s">
        <v>80</v>
      </c>
      <c r="C17" t="s">
        <v>73</v>
      </c>
      <c r="D17" s="25">
        <v>1</v>
      </c>
      <c r="E17" s="25">
        <v>148</v>
      </c>
      <c r="F17" s="42">
        <v>0</v>
      </c>
      <c r="G17" s="42">
        <v>0</v>
      </c>
      <c r="H17" s="42">
        <v>0</v>
      </c>
      <c r="I17" s="42">
        <v>0</v>
      </c>
      <c r="J17" s="42">
        <v>0</v>
      </c>
      <c r="K17" s="42">
        <v>0</v>
      </c>
      <c r="L17" s="42">
        <v>0</v>
      </c>
      <c r="M17" s="42">
        <v>0</v>
      </c>
      <c r="N17" s="42">
        <v>0</v>
      </c>
      <c r="O17" s="42">
        <v>0</v>
      </c>
      <c r="P17" s="42">
        <v>0</v>
      </c>
      <c r="Q17" s="42">
        <v>0</v>
      </c>
      <c r="R17" s="42">
        <v>0</v>
      </c>
      <c r="S17" s="42">
        <v>0</v>
      </c>
      <c r="T17" s="42">
        <v>0</v>
      </c>
    </row>
    <row r="18" spans="1:20" x14ac:dyDescent="0.3">
      <c r="A18" s="15" t="s">
        <v>83</v>
      </c>
      <c r="B18" s="15" t="s">
        <v>80</v>
      </c>
      <c r="C18" s="15" t="s">
        <v>73</v>
      </c>
      <c r="D18" s="37">
        <v>1</v>
      </c>
      <c r="E18" s="37">
        <v>149</v>
      </c>
      <c r="F18" s="43">
        <v>0</v>
      </c>
      <c r="G18" s="43">
        <v>0</v>
      </c>
      <c r="H18" s="43">
        <v>0</v>
      </c>
      <c r="I18" s="43">
        <v>0</v>
      </c>
      <c r="J18" s="43">
        <v>0</v>
      </c>
      <c r="K18" s="43">
        <v>0</v>
      </c>
      <c r="L18" s="43">
        <v>0</v>
      </c>
      <c r="M18" s="43">
        <v>0</v>
      </c>
      <c r="N18" s="43">
        <v>0</v>
      </c>
      <c r="O18" s="43">
        <v>0</v>
      </c>
      <c r="P18" s="43">
        <v>0</v>
      </c>
      <c r="Q18" s="43">
        <v>0</v>
      </c>
      <c r="R18" s="43">
        <v>0</v>
      </c>
      <c r="S18" s="43">
        <v>0</v>
      </c>
      <c r="T18" s="43">
        <v>0</v>
      </c>
    </row>
    <row r="19" spans="1:20" x14ac:dyDescent="0.3">
      <c r="A19" s="13" t="s">
        <v>81</v>
      </c>
      <c r="B19" s="13" t="s">
        <v>80</v>
      </c>
      <c r="C19" s="15" t="s">
        <v>73</v>
      </c>
      <c r="D19" s="32">
        <v>1</v>
      </c>
      <c r="E19" s="32">
        <v>132.4512</v>
      </c>
      <c r="F19" s="39">
        <v>0</v>
      </c>
      <c r="G19" s="39">
        <v>0</v>
      </c>
      <c r="H19" s="39">
        <v>0</v>
      </c>
      <c r="I19" s="39">
        <v>0</v>
      </c>
      <c r="J19" s="39">
        <v>0</v>
      </c>
      <c r="K19" s="39">
        <v>0</v>
      </c>
      <c r="L19" s="39">
        <v>0</v>
      </c>
      <c r="M19" s="39">
        <v>0</v>
      </c>
      <c r="N19" s="39">
        <v>0</v>
      </c>
      <c r="O19" s="39">
        <v>0</v>
      </c>
      <c r="P19" s="39">
        <v>0</v>
      </c>
      <c r="Q19" s="39">
        <v>0</v>
      </c>
      <c r="R19" s="39">
        <v>0</v>
      </c>
      <c r="S19" s="39">
        <v>0</v>
      </c>
      <c r="T19" s="39">
        <v>0</v>
      </c>
    </row>
    <row r="20" spans="1:20" x14ac:dyDescent="0.3">
      <c r="A20" t="s">
        <v>81</v>
      </c>
      <c r="B20" t="s">
        <v>78</v>
      </c>
      <c r="C20" s="15" t="s">
        <v>73</v>
      </c>
      <c r="D20" s="25">
        <v>1</v>
      </c>
      <c r="E20" s="25">
        <v>354.78000000000003</v>
      </c>
      <c r="F20" s="42">
        <v>0</v>
      </c>
      <c r="G20" s="42">
        <v>0</v>
      </c>
      <c r="H20" s="42">
        <v>0</v>
      </c>
      <c r="I20" s="42">
        <v>0</v>
      </c>
      <c r="J20" s="42">
        <v>0</v>
      </c>
      <c r="K20" s="42">
        <v>5.114062499999994E-2</v>
      </c>
      <c r="L20" s="42">
        <v>0.10489687499999989</v>
      </c>
      <c r="M20" s="42">
        <v>0.16139999999999999</v>
      </c>
      <c r="N20" s="42">
        <v>0.2207937499999999</v>
      </c>
      <c r="O20" s="42">
        <v>0.28322500000000006</v>
      </c>
      <c r="P20" s="42">
        <v>0.3488500000000001</v>
      </c>
      <c r="Q20" s="42">
        <v>0.4178312500000001</v>
      </c>
      <c r="R20" s="42">
        <v>0.49033750000000009</v>
      </c>
      <c r="S20" s="42">
        <v>0.56655312499999999</v>
      </c>
      <c r="T20" s="42">
        <v>0.6466687499999999</v>
      </c>
    </row>
    <row r="21" spans="1:20" x14ac:dyDescent="0.3">
      <c r="A21" s="15" t="s">
        <v>81</v>
      </c>
      <c r="B21" s="15" t="s">
        <v>77</v>
      </c>
      <c r="C21" s="15" t="s">
        <v>73</v>
      </c>
      <c r="D21" s="37">
        <v>1</v>
      </c>
      <c r="E21" s="37">
        <v>662.25600000000009</v>
      </c>
      <c r="F21" s="43">
        <v>0</v>
      </c>
      <c r="G21" s="43">
        <v>0</v>
      </c>
      <c r="H21" s="43">
        <v>0</v>
      </c>
      <c r="I21" s="43">
        <v>0</v>
      </c>
      <c r="J21" s="43">
        <v>0</v>
      </c>
      <c r="K21" s="43">
        <v>5.1140000000000019E-2</v>
      </c>
      <c r="L21" s="43">
        <v>0.10489538461538468</v>
      </c>
      <c r="M21" s="43">
        <v>0.16139999999999999</v>
      </c>
      <c r="N21" s="43">
        <v>0.22079384615384623</v>
      </c>
      <c r="O21" s="43">
        <v>0.28322615384615385</v>
      </c>
      <c r="P21" s="43">
        <v>0.34885076923076913</v>
      </c>
      <c r="Q21" s="43">
        <v>0.41783076923076934</v>
      </c>
      <c r="R21" s="43">
        <v>0.49033846153846156</v>
      </c>
      <c r="S21" s="43">
        <v>0.56655384615384607</v>
      </c>
      <c r="T21" s="43">
        <v>0.64666153846153851</v>
      </c>
    </row>
  </sheetData>
  <dataValidations count="1">
    <dataValidation type="list" allowBlank="1" showInputMessage="1" showErrorMessage="1" sqref="C2:C26" xr:uid="{00000000-0002-0000-0000-000000000000}">
      <formula1>"Yes, No"</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U28"/>
  <sheetViews>
    <sheetView workbookViewId="0">
      <selection activeCell="A29" sqref="A29:XFD29"/>
    </sheetView>
  </sheetViews>
  <sheetFormatPr defaultColWidth="8.77734375" defaultRowHeight="14.4" x14ac:dyDescent="0.3"/>
  <cols>
    <col min="1" max="1" width="14.44140625" customWidth="1"/>
    <col min="4" max="4" width="14.77734375" customWidth="1"/>
    <col min="5" max="5" width="19.44140625" bestFit="1" customWidth="1"/>
    <col min="6" max="6" width="11.6640625" customWidth="1"/>
    <col min="8" max="8" width="13.77734375" customWidth="1"/>
    <col min="9" max="9" width="14.33203125" customWidth="1"/>
    <col min="10" max="10" width="13.44140625" customWidth="1"/>
  </cols>
  <sheetData>
    <row r="1" spans="1:21" x14ac:dyDescent="0.3">
      <c r="A1" s="19" t="s">
        <v>102</v>
      </c>
      <c r="B1" s="19" t="s">
        <v>101</v>
      </c>
      <c r="C1" s="19" t="s">
        <v>100</v>
      </c>
      <c r="D1" s="27" t="s">
        <v>98</v>
      </c>
      <c r="E1" s="27" t="s">
        <v>103</v>
      </c>
      <c r="F1" s="26" t="s">
        <v>97</v>
      </c>
      <c r="G1" s="20" t="s">
        <v>99</v>
      </c>
      <c r="H1" s="58" t="s">
        <v>145</v>
      </c>
      <c r="I1" s="58"/>
      <c r="J1" s="58"/>
    </row>
    <row r="2" spans="1:21" x14ac:dyDescent="0.3">
      <c r="A2" s="1" t="s">
        <v>82</v>
      </c>
      <c r="B2" s="1" t="s">
        <v>80</v>
      </c>
      <c r="C2" s="17" t="s">
        <v>74</v>
      </c>
      <c r="D2" s="24" t="s">
        <v>164</v>
      </c>
      <c r="E2" s="23">
        <v>0.9</v>
      </c>
      <c r="F2" s="44">
        <v>0.3</v>
      </c>
      <c r="G2" s="21">
        <v>163.56331372595281</v>
      </c>
      <c r="H2">
        <v>0.9</v>
      </c>
    </row>
    <row r="3" spans="1:21" x14ac:dyDescent="0.3">
      <c r="A3" s="1" t="s">
        <v>82</v>
      </c>
      <c r="B3" s="1" t="s">
        <v>79</v>
      </c>
      <c r="C3" s="17" t="s">
        <v>74</v>
      </c>
      <c r="D3" s="24" t="s">
        <v>164</v>
      </c>
      <c r="E3" s="23">
        <v>0.9</v>
      </c>
      <c r="F3" s="44">
        <v>0.3</v>
      </c>
      <c r="G3" s="21">
        <v>205.77863060999996</v>
      </c>
      <c r="H3">
        <v>0.9</v>
      </c>
    </row>
    <row r="4" spans="1:21" x14ac:dyDescent="0.3">
      <c r="A4" s="1" t="s">
        <v>82</v>
      </c>
      <c r="B4" s="1" t="s">
        <v>78</v>
      </c>
      <c r="C4" s="17" t="s">
        <v>74</v>
      </c>
      <c r="D4" s="24" t="s">
        <v>164</v>
      </c>
      <c r="E4" s="23">
        <v>0.9</v>
      </c>
      <c r="F4" s="44">
        <v>0.3</v>
      </c>
      <c r="G4" s="21">
        <v>148.61789988499999</v>
      </c>
      <c r="H4">
        <v>0.9</v>
      </c>
    </row>
    <row r="5" spans="1:21" x14ac:dyDescent="0.3">
      <c r="A5" s="1" t="s">
        <v>82</v>
      </c>
      <c r="B5" s="1" t="s">
        <v>77</v>
      </c>
      <c r="C5" s="17" t="s">
        <v>74</v>
      </c>
      <c r="D5" s="24" t="s">
        <v>164</v>
      </c>
      <c r="E5" s="23">
        <v>0.9</v>
      </c>
      <c r="F5" s="44">
        <v>0.3</v>
      </c>
      <c r="G5" s="21">
        <v>0</v>
      </c>
      <c r="H5">
        <v>0.9</v>
      </c>
    </row>
    <row r="6" spans="1:21" x14ac:dyDescent="0.3">
      <c r="A6" s="14" t="s">
        <v>96</v>
      </c>
      <c r="B6" s="14" t="s">
        <v>80</v>
      </c>
      <c r="C6" s="28" t="s">
        <v>74</v>
      </c>
      <c r="D6" s="29" t="s">
        <v>164</v>
      </c>
      <c r="E6" s="30">
        <v>0.9</v>
      </c>
      <c r="F6" s="45">
        <v>0.3</v>
      </c>
      <c r="G6" s="31">
        <v>25.490441853209127</v>
      </c>
      <c r="H6" s="13">
        <v>0.9</v>
      </c>
      <c r="I6" s="13"/>
      <c r="J6" s="13"/>
    </row>
    <row r="7" spans="1:21" x14ac:dyDescent="0.3">
      <c r="A7" s="1" t="s">
        <v>95</v>
      </c>
      <c r="B7" s="1" t="s">
        <v>80</v>
      </c>
      <c r="C7" s="17" t="s">
        <v>74</v>
      </c>
      <c r="D7" s="24" t="s">
        <v>164</v>
      </c>
      <c r="E7" s="23">
        <v>0.9</v>
      </c>
      <c r="F7" s="44">
        <v>0.3</v>
      </c>
      <c r="G7" s="21">
        <v>419.23516057187709</v>
      </c>
      <c r="H7">
        <v>0.8</v>
      </c>
    </row>
    <row r="8" spans="1:21" x14ac:dyDescent="0.3">
      <c r="A8" s="1" t="s">
        <v>94</v>
      </c>
      <c r="B8" s="1" t="s">
        <v>80</v>
      </c>
      <c r="C8" s="17" t="s">
        <v>74</v>
      </c>
      <c r="D8" s="24" t="s">
        <v>164</v>
      </c>
      <c r="E8" s="23">
        <v>0.9</v>
      </c>
      <c r="F8" s="44">
        <v>0.3</v>
      </c>
      <c r="G8" s="21">
        <v>38.235662779813694</v>
      </c>
      <c r="H8">
        <v>0.8</v>
      </c>
    </row>
    <row r="9" spans="1:21" x14ac:dyDescent="0.3">
      <c r="A9" s="1" t="s">
        <v>93</v>
      </c>
      <c r="B9" s="1" t="s">
        <v>80</v>
      </c>
      <c r="C9" s="17" t="s">
        <v>74</v>
      </c>
      <c r="D9" s="24" t="s">
        <v>164</v>
      </c>
      <c r="E9" s="23">
        <v>0.9</v>
      </c>
      <c r="F9" s="44">
        <v>0.3</v>
      </c>
      <c r="G9" s="21">
        <v>628.85274085781577</v>
      </c>
      <c r="H9">
        <v>0.8</v>
      </c>
      <c r="O9" s="76"/>
      <c r="P9" s="76"/>
      <c r="Q9" s="76"/>
      <c r="R9" s="76"/>
      <c r="S9" s="76"/>
      <c r="T9" s="76"/>
      <c r="U9" s="76"/>
    </row>
    <row r="10" spans="1:21" x14ac:dyDescent="0.3">
      <c r="A10" s="1" t="s">
        <v>92</v>
      </c>
      <c r="B10" s="1" t="s">
        <v>80</v>
      </c>
      <c r="C10" s="17" t="s">
        <v>74</v>
      </c>
      <c r="D10" s="24" t="s">
        <v>164</v>
      </c>
      <c r="E10" s="23">
        <v>0.9</v>
      </c>
      <c r="F10" s="44">
        <v>0.3</v>
      </c>
      <c r="G10" s="21">
        <v>0</v>
      </c>
      <c r="H10">
        <v>0.8</v>
      </c>
    </row>
    <row r="11" spans="1:21" x14ac:dyDescent="0.3">
      <c r="A11" s="1" t="s">
        <v>91</v>
      </c>
      <c r="B11" s="1" t="s">
        <v>80</v>
      </c>
      <c r="C11" s="17" t="s">
        <v>74</v>
      </c>
      <c r="D11" s="24" t="s">
        <v>164</v>
      </c>
      <c r="E11" s="23">
        <v>0.9</v>
      </c>
      <c r="F11" s="44">
        <v>0.3</v>
      </c>
      <c r="G11" s="21">
        <v>105.24543197101032</v>
      </c>
      <c r="H11">
        <v>0.8</v>
      </c>
    </row>
    <row r="12" spans="1:21" x14ac:dyDescent="0.3">
      <c r="A12" s="16" t="s">
        <v>90</v>
      </c>
      <c r="B12" s="16" t="s">
        <v>80</v>
      </c>
      <c r="C12" s="33" t="s">
        <v>74</v>
      </c>
      <c r="D12" s="34" t="s">
        <v>164</v>
      </c>
      <c r="E12" s="35">
        <v>0.9</v>
      </c>
      <c r="F12" s="44">
        <v>0.3</v>
      </c>
      <c r="G12" s="36">
        <v>157.86814795651546</v>
      </c>
      <c r="H12" s="15">
        <v>0.8</v>
      </c>
      <c r="I12" s="15"/>
      <c r="J12" s="15"/>
    </row>
    <row r="13" spans="1:21" x14ac:dyDescent="0.3">
      <c r="A13" s="14" t="s">
        <v>89</v>
      </c>
      <c r="B13" s="14" t="s">
        <v>80</v>
      </c>
      <c r="C13" s="28" t="s">
        <v>74</v>
      </c>
      <c r="D13" s="29" t="s">
        <v>164</v>
      </c>
      <c r="E13" s="30">
        <v>0.9</v>
      </c>
      <c r="F13" s="45">
        <v>0.3</v>
      </c>
      <c r="G13" s="31">
        <v>259.08882536612248</v>
      </c>
      <c r="H13" s="13">
        <v>0.9</v>
      </c>
    </row>
    <row r="14" spans="1:21" x14ac:dyDescent="0.3">
      <c r="A14" s="1" t="s">
        <v>88</v>
      </c>
      <c r="B14" s="1" t="s">
        <v>80</v>
      </c>
      <c r="C14" s="17" t="s">
        <v>74</v>
      </c>
      <c r="D14" s="24" t="s">
        <v>164</v>
      </c>
      <c r="E14" s="23">
        <v>0.9</v>
      </c>
      <c r="F14" s="44">
        <v>0.3</v>
      </c>
      <c r="G14" s="21">
        <v>859.14984082051603</v>
      </c>
      <c r="H14">
        <v>0.8</v>
      </c>
    </row>
    <row r="15" spans="1:21" x14ac:dyDescent="0.3">
      <c r="A15" s="1" t="s">
        <v>87</v>
      </c>
      <c r="B15" s="1" t="s">
        <v>80</v>
      </c>
      <c r="C15" s="17" t="s">
        <v>74</v>
      </c>
      <c r="D15" s="24" t="s">
        <v>164</v>
      </c>
      <c r="E15" s="23">
        <v>0.9</v>
      </c>
      <c r="F15" s="44">
        <v>0.3</v>
      </c>
      <c r="G15" s="21">
        <v>316.66411989192744</v>
      </c>
      <c r="H15">
        <v>0.8</v>
      </c>
    </row>
    <row r="16" spans="1:21" x14ac:dyDescent="0.3">
      <c r="A16" s="1" t="s">
        <v>86</v>
      </c>
      <c r="B16" s="1" t="s">
        <v>80</v>
      </c>
      <c r="C16" s="17" t="s">
        <v>74</v>
      </c>
      <c r="D16" s="24" t="s">
        <v>164</v>
      </c>
      <c r="E16" s="23">
        <v>0.9</v>
      </c>
      <c r="F16" s="44">
        <v>0.3</v>
      </c>
      <c r="G16" s="21">
        <v>1050.0720276695197</v>
      </c>
      <c r="H16">
        <v>0.8</v>
      </c>
    </row>
    <row r="17" spans="1:13" x14ac:dyDescent="0.3">
      <c r="A17" s="1" t="s">
        <v>85</v>
      </c>
      <c r="B17" s="1" t="s">
        <v>80</v>
      </c>
      <c r="C17" s="17" t="s">
        <v>74</v>
      </c>
      <c r="D17" s="24" t="s">
        <v>164</v>
      </c>
      <c r="E17" s="23">
        <v>0.9</v>
      </c>
      <c r="F17" s="44">
        <v>0.3</v>
      </c>
      <c r="G17" s="21">
        <v>60.119798961062465</v>
      </c>
      <c r="H17">
        <v>0.8</v>
      </c>
      <c r="M17" s="76"/>
    </row>
    <row r="18" spans="1:13" x14ac:dyDescent="0.3">
      <c r="A18" s="1" t="s">
        <v>84</v>
      </c>
      <c r="B18" s="1" t="s">
        <v>80</v>
      </c>
      <c r="C18" s="17" t="s">
        <v>74</v>
      </c>
      <c r="D18" s="24" t="s">
        <v>164</v>
      </c>
      <c r="E18" s="23">
        <v>0.9</v>
      </c>
      <c r="F18" s="44">
        <v>0.3</v>
      </c>
      <c r="G18" s="21">
        <v>1381.0373426166102</v>
      </c>
      <c r="H18">
        <v>0.8</v>
      </c>
    </row>
    <row r="19" spans="1:13" x14ac:dyDescent="0.3">
      <c r="A19" s="16" t="s">
        <v>83</v>
      </c>
      <c r="B19" s="16" t="s">
        <v>80</v>
      </c>
      <c r="C19" s="33" t="s">
        <v>74</v>
      </c>
      <c r="D19" s="34" t="s">
        <v>164</v>
      </c>
      <c r="E19" s="35">
        <v>0.9</v>
      </c>
      <c r="F19" s="44">
        <v>0.3</v>
      </c>
      <c r="G19" s="36">
        <v>2071.5560139249155</v>
      </c>
      <c r="H19" s="15">
        <v>0.8</v>
      </c>
    </row>
    <row r="20" spans="1:13" x14ac:dyDescent="0.3">
      <c r="A20" s="14" t="s">
        <v>81</v>
      </c>
      <c r="B20" s="14" t="s">
        <v>80</v>
      </c>
      <c r="C20" s="28" t="s">
        <v>74</v>
      </c>
      <c r="D20" s="29" t="s">
        <v>164</v>
      </c>
      <c r="E20" s="30">
        <v>0.9</v>
      </c>
      <c r="F20" s="45">
        <v>0.3</v>
      </c>
      <c r="G20" s="31">
        <v>1014.2356856799997</v>
      </c>
      <c r="H20" s="13">
        <v>0.9</v>
      </c>
      <c r="I20" s="13"/>
      <c r="J20" s="13"/>
    </row>
    <row r="21" spans="1:13" x14ac:dyDescent="0.3">
      <c r="A21" s="1" t="s">
        <v>81</v>
      </c>
      <c r="B21" s="1" t="s">
        <v>79</v>
      </c>
      <c r="C21" s="17" t="s">
        <v>74</v>
      </c>
      <c r="D21" s="24" t="s">
        <v>164</v>
      </c>
      <c r="E21" s="23">
        <v>0.9</v>
      </c>
      <c r="F21" s="44">
        <v>0.3</v>
      </c>
      <c r="G21" s="21">
        <v>5207.6181556408783</v>
      </c>
      <c r="H21">
        <v>0.9</v>
      </c>
    </row>
    <row r="22" spans="1:13" x14ac:dyDescent="0.3">
      <c r="A22" s="1" t="s">
        <v>81</v>
      </c>
      <c r="B22" s="1" t="s">
        <v>78</v>
      </c>
      <c r="C22" s="17" t="s">
        <v>74</v>
      </c>
      <c r="D22" s="24" t="s">
        <v>164</v>
      </c>
      <c r="E22" s="23">
        <v>0.9</v>
      </c>
      <c r="F22" s="44">
        <v>0.3</v>
      </c>
      <c r="G22" s="21">
        <v>4078.2551821283987</v>
      </c>
      <c r="H22">
        <v>0.9</v>
      </c>
    </row>
    <row r="23" spans="1:13" x14ac:dyDescent="0.3">
      <c r="A23" s="16" t="s">
        <v>81</v>
      </c>
      <c r="B23" s="16" t="s">
        <v>77</v>
      </c>
      <c r="C23" s="33" t="s">
        <v>74</v>
      </c>
      <c r="D23" s="34" t="s">
        <v>164</v>
      </c>
      <c r="E23" s="35">
        <v>0.9</v>
      </c>
      <c r="F23" s="46">
        <v>0.3</v>
      </c>
      <c r="G23" s="36">
        <v>0</v>
      </c>
      <c r="H23" s="15">
        <v>0.9</v>
      </c>
      <c r="I23" s="15"/>
      <c r="J23" s="15"/>
    </row>
    <row r="24" spans="1:13" x14ac:dyDescent="0.3">
      <c r="A24" t="s">
        <v>76</v>
      </c>
      <c r="B24" s="1" t="s">
        <v>80</v>
      </c>
      <c r="C24" s="17" t="s">
        <v>74</v>
      </c>
      <c r="D24" s="24" t="s">
        <v>164</v>
      </c>
      <c r="E24" s="23">
        <v>0.9</v>
      </c>
      <c r="F24" s="44">
        <v>0.3</v>
      </c>
      <c r="G24" s="22">
        <v>0</v>
      </c>
      <c r="H24">
        <v>0.9</v>
      </c>
    </row>
    <row r="25" spans="1:13" x14ac:dyDescent="0.3">
      <c r="A25" t="s">
        <v>76</v>
      </c>
      <c r="B25" t="s">
        <v>79</v>
      </c>
      <c r="C25" s="17" t="s">
        <v>74</v>
      </c>
      <c r="D25" s="24" t="s">
        <v>164</v>
      </c>
      <c r="E25" s="23">
        <v>0.9</v>
      </c>
      <c r="F25" s="44">
        <v>0.3</v>
      </c>
      <c r="G25" s="22">
        <v>0</v>
      </c>
      <c r="H25">
        <v>0.9</v>
      </c>
    </row>
    <row r="26" spans="1:13" x14ac:dyDescent="0.3">
      <c r="A26" t="s">
        <v>76</v>
      </c>
      <c r="B26" t="s">
        <v>78</v>
      </c>
      <c r="C26" s="17" t="s">
        <v>74</v>
      </c>
      <c r="D26" s="24" t="s">
        <v>164</v>
      </c>
      <c r="E26" s="23">
        <v>0.9</v>
      </c>
      <c r="F26" s="44">
        <v>0.3</v>
      </c>
      <c r="G26" s="22">
        <v>0</v>
      </c>
      <c r="H26">
        <v>0.9</v>
      </c>
    </row>
    <row r="27" spans="1:13" x14ac:dyDescent="0.3">
      <c r="A27" t="s">
        <v>76</v>
      </c>
      <c r="B27" t="s">
        <v>77</v>
      </c>
      <c r="C27" s="17" t="s">
        <v>74</v>
      </c>
      <c r="D27" s="24" t="s">
        <v>164</v>
      </c>
      <c r="E27" s="23">
        <v>0.9</v>
      </c>
      <c r="F27" s="44">
        <v>0.3</v>
      </c>
      <c r="G27" s="22">
        <v>0</v>
      </c>
      <c r="H27">
        <v>0.9</v>
      </c>
    </row>
    <row r="28" spans="1:13" x14ac:dyDescent="0.3">
      <c r="A28" t="s">
        <v>76</v>
      </c>
      <c r="B28" t="s">
        <v>75</v>
      </c>
      <c r="C28" s="17" t="s">
        <v>74</v>
      </c>
      <c r="D28" s="24" t="s">
        <v>164</v>
      </c>
      <c r="E28" s="23">
        <v>0.9</v>
      </c>
      <c r="F28" s="44">
        <v>0.3</v>
      </c>
      <c r="G28" s="22">
        <v>0</v>
      </c>
      <c r="H28">
        <v>0.9</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L37"/>
  <sheetViews>
    <sheetView workbookViewId="0">
      <selection activeCell="D2" sqref="D2"/>
    </sheetView>
  </sheetViews>
  <sheetFormatPr defaultColWidth="8.77734375" defaultRowHeight="14.4" x14ac:dyDescent="0.3"/>
  <cols>
    <col min="1" max="1" width="13.44140625" style="4" bestFit="1" customWidth="1"/>
    <col min="2" max="3" width="11.33203125" style="4" bestFit="1" customWidth="1"/>
    <col min="4" max="4" width="20" style="4" bestFit="1" customWidth="1"/>
    <col min="5" max="5" width="25.44140625" style="4" bestFit="1" customWidth="1"/>
    <col min="6" max="6" width="16" style="4" customWidth="1"/>
    <col min="7" max="7" width="8.44140625" style="4" customWidth="1"/>
    <col min="9" max="12" width="10.44140625" bestFit="1" customWidth="1"/>
    <col min="13" max="13" width="14" bestFit="1" customWidth="1"/>
    <col min="14" max="14" width="10.44140625" bestFit="1" customWidth="1"/>
    <col min="15" max="15" width="14.109375" bestFit="1" customWidth="1"/>
  </cols>
  <sheetData>
    <row r="1" spans="1:12" x14ac:dyDescent="0.3">
      <c r="A1" s="72" t="s">
        <v>34</v>
      </c>
      <c r="B1" s="72" t="s">
        <v>33</v>
      </c>
      <c r="C1" s="72" t="s">
        <v>117</v>
      </c>
      <c r="D1" s="72" t="s">
        <v>116</v>
      </c>
      <c r="E1" s="72" t="s">
        <v>115</v>
      </c>
      <c r="F1" s="72" t="s">
        <v>8</v>
      </c>
      <c r="G1" s="74" t="s">
        <v>123</v>
      </c>
      <c r="H1" s="75" t="s">
        <v>180</v>
      </c>
      <c r="I1" s="73"/>
      <c r="J1" s="73"/>
      <c r="K1" s="73"/>
      <c r="L1" s="73"/>
    </row>
    <row r="2" spans="1:12" x14ac:dyDescent="0.3">
      <c r="A2" s="86" t="s">
        <v>40</v>
      </c>
      <c r="B2" s="86" t="s">
        <v>50</v>
      </c>
      <c r="C2" s="86" t="s">
        <v>107</v>
      </c>
      <c r="D2" s="87">
        <v>152.30420047132432</v>
      </c>
      <c r="E2" s="88">
        <v>0.09</v>
      </c>
      <c r="F2" s="86" t="s">
        <v>28</v>
      </c>
      <c r="G2" s="89" t="s">
        <v>120</v>
      </c>
      <c r="H2" s="90">
        <v>1</v>
      </c>
      <c r="I2" t="s">
        <v>187</v>
      </c>
    </row>
    <row r="3" spans="1:12" x14ac:dyDescent="0.3">
      <c r="A3" s="86" t="s">
        <v>40</v>
      </c>
      <c r="B3" s="86" t="s">
        <v>50</v>
      </c>
      <c r="C3" s="86" t="s">
        <v>108</v>
      </c>
      <c r="D3" s="87">
        <v>98.911183724938439</v>
      </c>
      <c r="E3" s="88">
        <v>0.2</v>
      </c>
      <c r="F3" s="86" t="s">
        <v>28</v>
      </c>
      <c r="G3" s="89" t="s">
        <v>120</v>
      </c>
      <c r="H3" s="90">
        <v>1</v>
      </c>
    </row>
    <row r="4" spans="1:12" x14ac:dyDescent="0.3">
      <c r="A4" s="86" t="s">
        <v>40</v>
      </c>
      <c r="B4" s="86" t="s">
        <v>50</v>
      </c>
      <c r="C4" s="86" t="s">
        <v>112</v>
      </c>
      <c r="D4" s="87">
        <v>140.59857887084641</v>
      </c>
      <c r="E4" s="88">
        <v>0.24</v>
      </c>
      <c r="F4" s="86" t="s">
        <v>28</v>
      </c>
      <c r="G4" s="89" t="s">
        <v>120</v>
      </c>
      <c r="H4" s="90">
        <v>1</v>
      </c>
    </row>
    <row r="5" spans="1:12" x14ac:dyDescent="0.3">
      <c r="A5" s="86" t="s">
        <v>40</v>
      </c>
      <c r="B5" s="86" t="s">
        <v>50</v>
      </c>
      <c r="C5" s="86" t="s">
        <v>111</v>
      </c>
      <c r="D5" s="87">
        <v>85.886949860348892</v>
      </c>
      <c r="E5" s="88">
        <v>0.28000000000000003</v>
      </c>
      <c r="F5" s="86" t="s">
        <v>28</v>
      </c>
      <c r="G5" s="89" t="s">
        <v>120</v>
      </c>
      <c r="H5" s="90">
        <v>1</v>
      </c>
    </row>
    <row r="6" spans="1:12" x14ac:dyDescent="0.3">
      <c r="A6" s="86" t="s">
        <v>40</v>
      </c>
      <c r="B6" s="86" t="s">
        <v>50</v>
      </c>
      <c r="C6" s="86" t="s">
        <v>110</v>
      </c>
      <c r="D6" s="87">
        <v>27.958540271233399</v>
      </c>
      <c r="E6" s="88">
        <v>0.32</v>
      </c>
      <c r="F6" s="86" t="s">
        <v>28</v>
      </c>
      <c r="G6" s="89" t="s">
        <v>120</v>
      </c>
      <c r="H6" s="90">
        <v>1</v>
      </c>
    </row>
    <row r="7" spans="1:12" x14ac:dyDescent="0.3">
      <c r="A7" s="86" t="s">
        <v>40</v>
      </c>
      <c r="B7" s="86" t="s">
        <v>50</v>
      </c>
      <c r="C7" s="86" t="s">
        <v>109</v>
      </c>
      <c r="D7" s="87">
        <v>0</v>
      </c>
      <c r="E7" s="88">
        <v>0.32</v>
      </c>
      <c r="F7" s="86" t="s">
        <v>28</v>
      </c>
      <c r="G7" s="89" t="s">
        <v>120</v>
      </c>
      <c r="H7" s="90">
        <v>1</v>
      </c>
    </row>
    <row r="8" spans="1:12" x14ac:dyDescent="0.3">
      <c r="A8" s="86" t="s">
        <v>40</v>
      </c>
      <c r="B8" s="86" t="s">
        <v>50</v>
      </c>
      <c r="C8" s="86" t="s">
        <v>114</v>
      </c>
      <c r="D8" s="87">
        <v>0</v>
      </c>
      <c r="E8" s="88">
        <v>0.4</v>
      </c>
      <c r="F8" s="86" t="s">
        <v>28</v>
      </c>
      <c r="G8" s="89" t="s">
        <v>120</v>
      </c>
      <c r="H8" s="90">
        <v>1</v>
      </c>
    </row>
    <row r="9" spans="1:12" x14ac:dyDescent="0.3">
      <c r="A9" s="86" t="s">
        <v>40</v>
      </c>
      <c r="B9" s="86" t="s">
        <v>50</v>
      </c>
      <c r="C9" s="86" t="s">
        <v>113</v>
      </c>
      <c r="D9" s="87">
        <v>0</v>
      </c>
      <c r="E9" s="88">
        <v>0.44</v>
      </c>
      <c r="F9" s="86" t="s">
        <v>28</v>
      </c>
      <c r="G9" s="89" t="s">
        <v>120</v>
      </c>
      <c r="H9" s="90">
        <v>1</v>
      </c>
    </row>
    <row r="10" spans="1:12" x14ac:dyDescent="0.3">
      <c r="A10" s="86" t="s">
        <v>40</v>
      </c>
      <c r="B10" s="86" t="s">
        <v>50</v>
      </c>
      <c r="C10" s="86" t="s">
        <v>209</v>
      </c>
      <c r="D10" s="87">
        <v>0</v>
      </c>
      <c r="E10" s="88">
        <v>0.73</v>
      </c>
      <c r="F10" s="86" t="s">
        <v>28</v>
      </c>
      <c r="G10" s="89" t="s">
        <v>120</v>
      </c>
      <c r="H10" s="90">
        <v>2</v>
      </c>
    </row>
    <row r="11" spans="1:12" x14ac:dyDescent="0.3">
      <c r="A11" s="86" t="s">
        <v>40</v>
      </c>
      <c r="B11" s="86" t="s">
        <v>52</v>
      </c>
      <c r="C11" s="86" t="s">
        <v>209</v>
      </c>
      <c r="D11" s="87">
        <v>5.7448477518949699E-3</v>
      </c>
      <c r="E11" s="88">
        <v>0.24655000000000002</v>
      </c>
      <c r="F11" s="86" t="s">
        <v>28</v>
      </c>
      <c r="G11" s="89" t="s">
        <v>120</v>
      </c>
      <c r="H11" s="90">
        <v>1</v>
      </c>
      <c r="I11" t="s">
        <v>187</v>
      </c>
    </row>
    <row r="12" spans="1:12" x14ac:dyDescent="0.3">
      <c r="A12" s="86" t="s">
        <v>40</v>
      </c>
      <c r="B12" s="86" t="s">
        <v>52</v>
      </c>
      <c r="C12" s="86" t="s">
        <v>211</v>
      </c>
      <c r="D12" s="87">
        <v>0.44164929352876697</v>
      </c>
      <c r="E12" s="88">
        <v>0.29199999999999998</v>
      </c>
      <c r="F12" s="86" t="s">
        <v>28</v>
      </c>
      <c r="G12" s="89" t="s">
        <v>120</v>
      </c>
      <c r="H12" s="90">
        <v>1</v>
      </c>
    </row>
    <row r="13" spans="1:12" x14ac:dyDescent="0.3">
      <c r="A13" s="86" t="s">
        <v>40</v>
      </c>
      <c r="B13" s="86" t="s">
        <v>52</v>
      </c>
      <c r="C13" s="86" t="s">
        <v>212</v>
      </c>
      <c r="D13" s="87">
        <v>67.728189568443497</v>
      </c>
      <c r="E13" s="88">
        <v>0.29199999999999998</v>
      </c>
      <c r="F13" s="86" t="s">
        <v>28</v>
      </c>
      <c r="G13" s="89" t="s">
        <v>120</v>
      </c>
      <c r="H13" s="90">
        <v>1</v>
      </c>
    </row>
    <row r="14" spans="1:12" x14ac:dyDescent="0.3">
      <c r="A14" s="86" t="s">
        <v>40</v>
      </c>
      <c r="B14" s="86" t="s">
        <v>52</v>
      </c>
      <c r="C14" s="86" t="s">
        <v>213</v>
      </c>
      <c r="D14" s="87">
        <v>200.20516901281499</v>
      </c>
      <c r="E14" s="88">
        <v>0.29199999999999998</v>
      </c>
      <c r="F14" s="86" t="s">
        <v>28</v>
      </c>
      <c r="G14" s="89" t="s">
        <v>120</v>
      </c>
      <c r="H14" s="90">
        <v>1</v>
      </c>
    </row>
    <row r="15" spans="1:12" x14ac:dyDescent="0.3">
      <c r="A15" s="86" t="s">
        <v>40</v>
      </c>
      <c r="B15" s="86" t="s">
        <v>52</v>
      </c>
      <c r="C15" s="86" t="s">
        <v>214</v>
      </c>
      <c r="D15" s="87">
        <v>75.305463057577498</v>
      </c>
      <c r="E15" s="88">
        <v>0.36710999999999999</v>
      </c>
      <c r="F15" s="86" t="s">
        <v>28</v>
      </c>
      <c r="G15" s="89" t="s">
        <v>120</v>
      </c>
      <c r="H15" s="90">
        <v>1</v>
      </c>
    </row>
    <row r="16" spans="1:12" x14ac:dyDescent="0.3">
      <c r="A16" s="86" t="s">
        <v>40</v>
      </c>
      <c r="B16" s="86" t="s">
        <v>54</v>
      </c>
      <c r="C16" s="86" t="s">
        <v>107</v>
      </c>
      <c r="D16" s="87">
        <v>0</v>
      </c>
      <c r="E16" s="88">
        <v>0.15</v>
      </c>
      <c r="F16" s="86" t="s">
        <v>28</v>
      </c>
      <c r="G16" s="89" t="s">
        <v>120</v>
      </c>
      <c r="H16" s="90">
        <v>1</v>
      </c>
    </row>
    <row r="17" spans="1:11" x14ac:dyDescent="0.3">
      <c r="A17" s="86" t="s">
        <v>40</v>
      </c>
      <c r="B17" s="86" t="s">
        <v>54</v>
      </c>
      <c r="C17" s="86" t="s">
        <v>108</v>
      </c>
      <c r="D17" s="87">
        <v>0</v>
      </c>
      <c r="E17" s="88">
        <v>0.17</v>
      </c>
      <c r="F17" s="86" t="s">
        <v>28</v>
      </c>
      <c r="G17" s="89" t="s">
        <v>120</v>
      </c>
      <c r="H17" s="90">
        <v>1</v>
      </c>
    </row>
    <row r="18" spans="1:11" x14ac:dyDescent="0.3">
      <c r="A18" s="86" t="s">
        <v>40</v>
      </c>
      <c r="B18" s="86" t="s">
        <v>39</v>
      </c>
      <c r="C18" s="86" t="s">
        <v>107</v>
      </c>
      <c r="D18" s="92">
        <v>200</v>
      </c>
      <c r="E18" s="88">
        <v>1</v>
      </c>
      <c r="F18" s="86" t="s">
        <v>28</v>
      </c>
      <c r="G18" s="89" t="s">
        <v>120</v>
      </c>
      <c r="H18" s="90">
        <v>1</v>
      </c>
      <c r="I18" t="s">
        <v>207</v>
      </c>
      <c r="J18" t="s">
        <v>215</v>
      </c>
      <c r="K18" t="s">
        <v>216</v>
      </c>
    </row>
    <row r="19" spans="1:11" x14ac:dyDescent="0.3">
      <c r="A19" s="86" t="s">
        <v>40</v>
      </c>
      <c r="B19" s="86" t="s">
        <v>47</v>
      </c>
      <c r="C19" s="86" t="s">
        <v>208</v>
      </c>
      <c r="D19" s="92">
        <v>8.6149710000000006</v>
      </c>
      <c r="E19" s="88">
        <v>0.60168999999999995</v>
      </c>
      <c r="F19" s="86" t="s">
        <v>28</v>
      </c>
      <c r="G19" s="89" t="s">
        <v>120</v>
      </c>
      <c r="H19" s="90">
        <v>1</v>
      </c>
      <c r="I19" t="s">
        <v>210</v>
      </c>
    </row>
    <row r="20" spans="1:11" x14ac:dyDescent="0.3">
      <c r="A20" s="86" t="s">
        <v>40</v>
      </c>
      <c r="B20" s="86" t="s">
        <v>47</v>
      </c>
      <c r="C20" s="86" t="s">
        <v>107</v>
      </c>
      <c r="D20" s="92">
        <v>17.229939999999999</v>
      </c>
      <c r="E20" s="88">
        <v>0.62312999999999996</v>
      </c>
      <c r="F20" s="86" t="s">
        <v>28</v>
      </c>
      <c r="G20" s="89" t="s">
        <v>120</v>
      </c>
      <c r="H20" s="90">
        <v>1</v>
      </c>
    </row>
    <row r="21" spans="1:11" x14ac:dyDescent="0.3">
      <c r="A21" s="86" t="s">
        <v>40</v>
      </c>
      <c r="B21" s="86" t="s">
        <v>47</v>
      </c>
      <c r="C21" s="86" t="s">
        <v>108</v>
      </c>
      <c r="D21" s="92">
        <v>25.844909999999999</v>
      </c>
      <c r="E21" s="88">
        <v>0.60372999999999999</v>
      </c>
      <c r="F21" s="86" t="s">
        <v>28</v>
      </c>
      <c r="G21" s="89" t="s">
        <v>120</v>
      </c>
      <c r="H21" s="90">
        <v>1</v>
      </c>
    </row>
    <row r="22" spans="1:11" x14ac:dyDescent="0.3">
      <c r="A22" s="86" t="s">
        <v>40</v>
      </c>
      <c r="B22" s="86" t="s">
        <v>47</v>
      </c>
      <c r="C22" s="86" t="s">
        <v>112</v>
      </c>
      <c r="D22" s="92">
        <v>34.459884931506799</v>
      </c>
      <c r="E22" s="88">
        <v>0.58228999999999997</v>
      </c>
      <c r="F22" s="86" t="s">
        <v>28</v>
      </c>
      <c r="G22" s="89" t="s">
        <v>120</v>
      </c>
      <c r="H22" s="90">
        <v>1</v>
      </c>
    </row>
    <row r="23" spans="1:11" x14ac:dyDescent="0.3">
      <c r="A23" s="86" t="s">
        <v>40</v>
      </c>
      <c r="B23" s="86" t="s">
        <v>47</v>
      </c>
      <c r="C23" s="86" t="s">
        <v>111</v>
      </c>
      <c r="D23" s="92">
        <v>43.074856164383597</v>
      </c>
      <c r="E23" s="88">
        <v>0.55696000000000001</v>
      </c>
      <c r="F23" s="86" t="s">
        <v>28</v>
      </c>
      <c r="G23" s="89" t="s">
        <v>120</v>
      </c>
      <c r="H23" s="90">
        <v>1</v>
      </c>
    </row>
    <row r="24" spans="1:11" x14ac:dyDescent="0.3">
      <c r="A24" s="86" t="s">
        <v>40</v>
      </c>
      <c r="B24" s="86" t="s">
        <v>47</v>
      </c>
      <c r="C24" s="86" t="s">
        <v>110</v>
      </c>
      <c r="D24" s="92">
        <v>51.689827397260302</v>
      </c>
      <c r="E24" s="88">
        <v>0.49709999999999999</v>
      </c>
      <c r="F24" s="86" t="s">
        <v>28</v>
      </c>
      <c r="G24" s="89" t="s">
        <v>120</v>
      </c>
      <c r="H24" s="90">
        <v>1</v>
      </c>
    </row>
    <row r="25" spans="1:11" x14ac:dyDescent="0.3">
      <c r="A25" s="86" t="s">
        <v>40</v>
      </c>
      <c r="B25" s="86" t="s">
        <v>47</v>
      </c>
      <c r="C25" s="86" t="s">
        <v>109</v>
      </c>
      <c r="D25" s="92">
        <v>60.304798630137</v>
      </c>
      <c r="E25" s="88">
        <v>0.55259999999999998</v>
      </c>
      <c r="F25" s="86" t="s">
        <v>28</v>
      </c>
      <c r="G25" s="89" t="s">
        <v>120</v>
      </c>
      <c r="H25" s="90">
        <v>1</v>
      </c>
    </row>
    <row r="26" spans="1:11" x14ac:dyDescent="0.3">
      <c r="A26" s="86" t="s">
        <v>40</v>
      </c>
      <c r="B26" s="86" t="s">
        <v>47</v>
      </c>
      <c r="C26" s="86" t="s">
        <v>114</v>
      </c>
      <c r="D26" s="92">
        <v>68.919769863013698</v>
      </c>
      <c r="E26" s="88">
        <v>0.56384000000000001</v>
      </c>
      <c r="F26" s="86" t="s">
        <v>28</v>
      </c>
      <c r="G26" s="89" t="s">
        <v>120</v>
      </c>
      <c r="H26" s="90">
        <v>1</v>
      </c>
    </row>
    <row r="27" spans="1:11" x14ac:dyDescent="0.3">
      <c r="A27" s="86" t="s">
        <v>40</v>
      </c>
      <c r="B27" s="86" t="s">
        <v>47</v>
      </c>
      <c r="C27" s="86" t="s">
        <v>113</v>
      </c>
      <c r="D27" s="92">
        <v>77.534741095890396</v>
      </c>
      <c r="E27" s="88">
        <v>0.56927000000000005</v>
      </c>
      <c r="F27" s="86" t="s">
        <v>28</v>
      </c>
      <c r="G27" s="89" t="s">
        <v>120</v>
      </c>
      <c r="H27" s="90">
        <v>1</v>
      </c>
    </row>
    <row r="28" spans="1:11" x14ac:dyDescent="0.3">
      <c r="A28" s="86" t="s">
        <v>40</v>
      </c>
      <c r="B28" s="86" t="s">
        <v>47</v>
      </c>
      <c r="C28" s="86" t="s">
        <v>209</v>
      </c>
      <c r="D28" s="92">
        <v>86.149712328767095</v>
      </c>
      <c r="E28" s="88">
        <v>0.57999999999999996</v>
      </c>
      <c r="F28" s="86" t="s">
        <v>28</v>
      </c>
      <c r="G28" s="89" t="s">
        <v>120</v>
      </c>
      <c r="H28" s="90">
        <v>1</v>
      </c>
    </row>
    <row r="29" spans="1:11" x14ac:dyDescent="0.3">
      <c r="A29" s="91"/>
      <c r="B29" s="91"/>
      <c r="C29" s="91"/>
      <c r="D29" s="91"/>
      <c r="E29" s="91"/>
      <c r="F29" s="91"/>
      <c r="G29" s="91"/>
      <c r="H29" s="90"/>
    </row>
    <row r="30" spans="1:11" x14ac:dyDescent="0.3">
      <c r="G30" s="4">
        <f>14.25*1000000</f>
        <v>14250000</v>
      </c>
      <c r="I30">
        <v>12000000</v>
      </c>
    </row>
    <row r="31" spans="1:11" x14ac:dyDescent="0.3">
      <c r="G31" s="4">
        <v>6</v>
      </c>
      <c r="I31">
        <v>6</v>
      </c>
    </row>
    <row r="32" spans="1:11" x14ac:dyDescent="0.3">
      <c r="G32" s="4">
        <f>G30*G31*365</f>
        <v>31207500000</v>
      </c>
      <c r="I32">
        <f>I30*I31</f>
        <v>72000000</v>
      </c>
      <c r="K32" s="93"/>
    </row>
    <row r="33" spans="4:11" x14ac:dyDescent="0.3">
      <c r="D33" s="4">
        <f>D32/1000000</f>
        <v>0</v>
      </c>
      <c r="G33">
        <f>G32/1000000</f>
        <v>31207.5</v>
      </c>
      <c r="I33">
        <f>I32*0.000001</f>
        <v>72</v>
      </c>
      <c r="K33" s="93"/>
    </row>
    <row r="34" spans="4:11" x14ac:dyDescent="0.3">
      <c r="D34" s="4">
        <f>D33/8760</f>
        <v>0</v>
      </c>
      <c r="G34">
        <f>G33/8760</f>
        <v>3.5625</v>
      </c>
      <c r="I34">
        <f>I33/8760</f>
        <v>8.21917808219178E-3</v>
      </c>
      <c r="K34" s="93"/>
    </row>
    <row r="35" spans="4:11" x14ac:dyDescent="0.3">
      <c r="G35"/>
      <c r="K35" s="93"/>
    </row>
    <row r="36" spans="4:11" x14ac:dyDescent="0.3">
      <c r="G36"/>
      <c r="K36" s="93"/>
    </row>
    <row r="37" spans="4:11" x14ac:dyDescent="0.3">
      <c r="G37"/>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V31"/>
  <sheetViews>
    <sheetView workbookViewId="0">
      <selection activeCell="C14" sqref="C14:C15"/>
    </sheetView>
  </sheetViews>
  <sheetFormatPr defaultColWidth="9.109375" defaultRowHeight="14.4" x14ac:dyDescent="0.3"/>
  <sheetData>
    <row r="1" spans="1:22" ht="15" thickBot="1" x14ac:dyDescent="0.35">
      <c r="A1" s="54" t="s">
        <v>33</v>
      </c>
      <c r="B1" s="54" t="s">
        <v>34</v>
      </c>
      <c r="C1" s="55" t="s">
        <v>152</v>
      </c>
      <c r="D1" s="54" t="s">
        <v>163</v>
      </c>
      <c r="E1" s="56" t="s">
        <v>153</v>
      </c>
      <c r="F1" s="61" t="s">
        <v>154</v>
      </c>
      <c r="G1" s="57">
        <v>2015</v>
      </c>
      <c r="H1" s="57">
        <v>2020</v>
      </c>
      <c r="I1" s="57">
        <v>2025</v>
      </c>
      <c r="J1" s="57">
        <v>2030</v>
      </c>
      <c r="K1" s="57">
        <v>2035</v>
      </c>
      <c r="L1" s="57">
        <v>2040</v>
      </c>
      <c r="M1" s="57">
        <v>2045</v>
      </c>
      <c r="N1" s="57">
        <v>2050</v>
      </c>
      <c r="O1" s="57">
        <v>2055</v>
      </c>
      <c r="P1" s="57">
        <v>2060</v>
      </c>
      <c r="Q1" s="57">
        <v>2070</v>
      </c>
      <c r="R1" s="57">
        <v>2080</v>
      </c>
      <c r="S1" s="57">
        <v>2090</v>
      </c>
      <c r="T1" s="57">
        <v>2100</v>
      </c>
      <c r="U1" s="57">
        <v>2110</v>
      </c>
      <c r="V1" s="9" t="s">
        <v>123</v>
      </c>
    </row>
    <row r="2" spans="1:22" x14ac:dyDescent="0.3">
      <c r="A2" s="1" t="s">
        <v>68</v>
      </c>
      <c r="B2" s="1" t="s">
        <v>66</v>
      </c>
      <c r="C2" s="7" t="s">
        <v>155</v>
      </c>
      <c r="D2" s="62" t="s">
        <v>156</v>
      </c>
      <c r="E2" s="52"/>
      <c r="F2" s="63">
        <v>1</v>
      </c>
      <c r="G2" s="64">
        <v>0</v>
      </c>
      <c r="H2" s="64">
        <v>0.23765389403790277</v>
      </c>
      <c r="I2" s="64">
        <v>0.53534375432286607</v>
      </c>
      <c r="J2" s="64">
        <v>0.83289528288836612</v>
      </c>
      <c r="K2" s="64">
        <v>1.1989210125881864</v>
      </c>
      <c r="L2" s="64">
        <v>1.565223405726933</v>
      </c>
      <c r="M2" s="64">
        <v>1.963757089500622</v>
      </c>
      <c r="N2" s="64">
        <v>2.3600774657628993</v>
      </c>
      <c r="O2" s="64">
        <v>2.7382763867754871</v>
      </c>
      <c r="P2" s="64">
        <v>3.1150919905934429</v>
      </c>
      <c r="Q2" s="64">
        <v>3.8308203070964169</v>
      </c>
      <c r="R2" s="65">
        <v>4.5755982846866781</v>
      </c>
      <c r="S2" s="65">
        <v>5.3440309863051594</v>
      </c>
      <c r="T2" s="65">
        <v>6.1173052981048546</v>
      </c>
      <c r="U2" s="65">
        <v>6.9850601742979661</v>
      </c>
      <c r="V2" s="59" t="s">
        <v>120</v>
      </c>
    </row>
    <row r="3" spans="1:22" x14ac:dyDescent="0.3">
      <c r="A3" s="1" t="s">
        <v>65</v>
      </c>
      <c r="B3" s="1" t="s">
        <v>66</v>
      </c>
      <c r="C3" s="7" t="s">
        <v>155</v>
      </c>
      <c r="D3" s="66" t="s">
        <v>156</v>
      </c>
      <c r="E3" s="52"/>
      <c r="F3" s="63">
        <v>1</v>
      </c>
      <c r="G3" s="64">
        <v>0</v>
      </c>
      <c r="H3" s="64">
        <v>0.35802182493615048</v>
      </c>
      <c r="I3" s="64">
        <v>0.86579986069189685</v>
      </c>
      <c r="J3" s="64">
        <v>1.3717204550731368</v>
      </c>
      <c r="K3" s="64">
        <v>2.1959600650104485</v>
      </c>
      <c r="L3" s="64">
        <v>3.0213605758068258</v>
      </c>
      <c r="M3" s="64">
        <v>3.9127002553981893</v>
      </c>
      <c r="N3" s="64">
        <v>4.803343394474112</v>
      </c>
      <c r="O3" s="64">
        <v>5.7109356860924079</v>
      </c>
      <c r="P3" s="64">
        <v>6.6150452751335038</v>
      </c>
      <c r="Q3" s="64">
        <v>8.3930810308799622</v>
      </c>
      <c r="R3" s="65">
        <v>10.212677037381008</v>
      </c>
      <c r="S3" s="65">
        <v>11.869050383097283</v>
      </c>
      <c r="T3" s="65">
        <v>13.454144416066866</v>
      </c>
      <c r="U3" s="65">
        <v>15.241699558857672</v>
      </c>
      <c r="V3" s="59" t="s">
        <v>120</v>
      </c>
    </row>
    <row r="4" spans="1:22" x14ac:dyDescent="0.3">
      <c r="A4" s="1" t="s">
        <v>67</v>
      </c>
      <c r="B4" s="1" t="s">
        <v>66</v>
      </c>
      <c r="C4" s="7" t="s">
        <v>155</v>
      </c>
      <c r="D4" s="66" t="s">
        <v>156</v>
      </c>
      <c r="E4" s="52"/>
      <c r="F4" s="63">
        <v>1</v>
      </c>
      <c r="G4" s="64">
        <v>0</v>
      </c>
      <c r="H4" s="64">
        <v>0.27489374620522161</v>
      </c>
      <c r="I4" s="64">
        <v>0.70544930176077736</v>
      </c>
      <c r="J4" s="64">
        <v>1.1336520947176687</v>
      </c>
      <c r="K4" s="64">
        <v>1.6625683060109291</v>
      </c>
      <c r="L4" s="64">
        <v>2.1931542197935645</v>
      </c>
      <c r="M4" s="64">
        <v>2.636460230722526</v>
      </c>
      <c r="N4" s="64">
        <v>3.0802216150576811</v>
      </c>
      <c r="O4" s="64">
        <v>3.5083485124468732</v>
      </c>
      <c r="P4" s="64">
        <v>3.933060109289618</v>
      </c>
      <c r="Q4" s="64">
        <v>4.8643746205221623</v>
      </c>
      <c r="R4" s="65">
        <v>5.9175774134790533</v>
      </c>
      <c r="S4" s="65">
        <v>6.6438221007893139</v>
      </c>
      <c r="T4" s="65">
        <v>7.2115968427443846</v>
      </c>
      <c r="U4" s="65">
        <v>7.8236945962355797</v>
      </c>
      <c r="V4" s="59" t="s">
        <v>120</v>
      </c>
    </row>
    <row r="5" spans="1:22" x14ac:dyDescent="0.3">
      <c r="A5" s="1" t="s">
        <v>72</v>
      </c>
      <c r="B5" s="1" t="s">
        <v>66</v>
      </c>
      <c r="C5" s="7" t="s">
        <v>155</v>
      </c>
      <c r="D5" s="66" t="s">
        <v>156</v>
      </c>
      <c r="E5" s="52"/>
      <c r="F5" s="63">
        <v>1</v>
      </c>
      <c r="G5" s="64">
        <v>0</v>
      </c>
      <c r="H5" s="64">
        <v>5.0475687103593986E-2</v>
      </c>
      <c r="I5" s="64">
        <v>9.0644820295983072E-2</v>
      </c>
      <c r="J5" s="64">
        <v>0.13054968287526419</v>
      </c>
      <c r="K5" s="64">
        <v>9.460887949260037E-2</v>
      </c>
      <c r="L5" s="64">
        <v>5.8668076109936539E-2</v>
      </c>
      <c r="M5" s="64">
        <v>-7.8488372093023409E-2</v>
      </c>
      <c r="N5" s="64">
        <v>-0.21564482029598317</v>
      </c>
      <c r="O5" s="64">
        <v>-0.3623150105708246</v>
      </c>
      <c r="P5" s="64">
        <v>-0.50898520084566601</v>
      </c>
      <c r="Q5" s="64">
        <v>-0.74312896405919671</v>
      </c>
      <c r="R5" s="64">
        <v>-1</v>
      </c>
      <c r="S5" s="64">
        <v>-1</v>
      </c>
      <c r="T5" s="64">
        <v>-1</v>
      </c>
      <c r="U5" s="64">
        <v>-1</v>
      </c>
      <c r="V5" s="59" t="s">
        <v>120</v>
      </c>
    </row>
    <row r="6" spans="1:22" x14ac:dyDescent="0.3">
      <c r="A6" s="1" t="s">
        <v>69</v>
      </c>
      <c r="B6" s="1" t="s">
        <v>66</v>
      </c>
      <c r="C6" s="7" t="s">
        <v>155</v>
      </c>
      <c r="D6" s="66" t="s">
        <v>156</v>
      </c>
      <c r="E6" s="52"/>
      <c r="F6" s="63">
        <v>1</v>
      </c>
      <c r="G6" s="64">
        <v>0</v>
      </c>
      <c r="H6" s="64">
        <v>0.41980519480519468</v>
      </c>
      <c r="I6" s="64">
        <v>1.0879870129870131</v>
      </c>
      <c r="J6" s="64">
        <v>1.7535714285714288</v>
      </c>
      <c r="K6" s="64">
        <v>2.5834415584415584</v>
      </c>
      <c r="L6" s="64">
        <v>3.4142857142857146</v>
      </c>
      <c r="M6" s="64">
        <v>4.3649350649350644</v>
      </c>
      <c r="N6" s="64">
        <v>5.3155844155844152</v>
      </c>
      <c r="O6" s="64">
        <v>6.6525974025974017</v>
      </c>
      <c r="P6" s="64">
        <v>7.9857142857142849</v>
      </c>
      <c r="Q6" s="64">
        <v>11.781818181818181</v>
      </c>
      <c r="R6" s="65">
        <v>15.533766233766233</v>
      </c>
      <c r="S6" s="65">
        <v>19.605519480519479</v>
      </c>
      <c r="T6" s="65">
        <v>23.575974025974027</v>
      </c>
      <c r="U6" s="65">
        <v>28.326948051948051</v>
      </c>
      <c r="V6" s="59" t="s">
        <v>120</v>
      </c>
    </row>
    <row r="7" spans="1:22" x14ac:dyDescent="0.3">
      <c r="A7" s="1" t="s">
        <v>70</v>
      </c>
      <c r="B7" s="1" t="s">
        <v>66</v>
      </c>
      <c r="C7" s="7" t="s">
        <v>155</v>
      </c>
      <c r="D7" s="66" t="s">
        <v>156</v>
      </c>
      <c r="E7" s="52"/>
      <c r="F7" s="63">
        <v>0.6</v>
      </c>
      <c r="G7" s="64">
        <v>0</v>
      </c>
      <c r="H7" s="64">
        <v>0.43475716793446456</v>
      </c>
      <c r="I7" s="64">
        <v>1.419543592744295</v>
      </c>
      <c r="J7" s="64">
        <v>2.4043300175541256</v>
      </c>
      <c r="K7" s="64">
        <v>4.4979520187243995</v>
      </c>
      <c r="L7" s="64">
        <v>6.5909888823873599</v>
      </c>
      <c r="M7" s="64">
        <v>9.8946752486834395</v>
      </c>
      <c r="N7" s="64">
        <v>13.194850789935636</v>
      </c>
      <c r="O7" s="64">
        <v>17.401989467524871</v>
      </c>
      <c r="P7" s="64">
        <v>21.606202457577531</v>
      </c>
      <c r="Q7" s="64">
        <v>30.847864248098301</v>
      </c>
      <c r="R7" s="65">
        <v>40.446459918080748</v>
      </c>
      <c r="S7" s="65">
        <v>47.476301930953774</v>
      </c>
      <c r="T7" s="65">
        <v>54.239321240491513</v>
      </c>
      <c r="U7" s="65">
        <v>61.971328262141611</v>
      </c>
      <c r="V7" s="59" t="s">
        <v>120</v>
      </c>
    </row>
    <row r="8" spans="1:22" ht="15" thickBot="1" x14ac:dyDescent="0.35">
      <c r="A8" s="51" t="s">
        <v>71</v>
      </c>
      <c r="B8" s="51" t="s">
        <v>66</v>
      </c>
      <c r="C8" s="8" t="s">
        <v>155</v>
      </c>
      <c r="D8" s="67" t="s">
        <v>156</v>
      </c>
      <c r="E8" s="53"/>
      <c r="F8" s="68">
        <v>1</v>
      </c>
      <c r="G8" s="69">
        <v>0</v>
      </c>
      <c r="H8" s="69">
        <v>0.22968565678995206</v>
      </c>
      <c r="I8" s="69">
        <v>0.58989660675872591</v>
      </c>
      <c r="J8" s="69">
        <v>0.94976059954201641</v>
      </c>
      <c r="K8" s="69">
        <v>1.4071195614461172</v>
      </c>
      <c r="L8" s="69">
        <v>1.8648254805357019</v>
      </c>
      <c r="M8" s="69">
        <v>2.4874054541669555</v>
      </c>
      <c r="N8" s="69">
        <v>3.1080424675595029</v>
      </c>
      <c r="O8" s="69">
        <v>3.8955658871695227</v>
      </c>
      <c r="P8" s="69">
        <v>4.681632086600513</v>
      </c>
      <c r="Q8" s="69">
        <v>6.5021858302685445</v>
      </c>
      <c r="R8" s="70">
        <v>8.5224481299007699</v>
      </c>
      <c r="S8" s="70">
        <v>10.508639233918535</v>
      </c>
      <c r="T8" s="70">
        <v>12.447089029213794</v>
      </c>
      <c r="U8" s="70">
        <v>14.714801193532715</v>
      </c>
      <c r="V8" s="59" t="s">
        <v>120</v>
      </c>
    </row>
    <row r="15" spans="1:22" x14ac:dyDescent="0.3">
      <c r="C15" s="9"/>
    </row>
    <row r="20" spans="4:21" x14ac:dyDescent="0.3">
      <c r="H20" s="64"/>
      <c r="I20" s="64"/>
      <c r="J20" s="64"/>
      <c r="K20" s="64"/>
      <c r="L20" s="64"/>
      <c r="M20" s="64"/>
      <c r="N20" s="64"/>
      <c r="O20" s="64"/>
      <c r="P20" s="64"/>
      <c r="Q20" s="64"/>
      <c r="R20" s="64"/>
      <c r="S20" s="64"/>
      <c r="T20" s="64"/>
      <c r="U20" s="64"/>
    </row>
    <row r="21" spans="4:21" x14ac:dyDescent="0.3">
      <c r="H21" s="64"/>
      <c r="I21" s="64"/>
      <c r="J21" s="64"/>
      <c r="K21" s="64"/>
      <c r="L21" s="64"/>
      <c r="M21" s="64"/>
      <c r="N21" s="64"/>
      <c r="O21" s="64"/>
      <c r="P21" s="64"/>
      <c r="Q21" s="64"/>
      <c r="R21" s="64"/>
      <c r="S21" s="64"/>
      <c r="T21" s="64"/>
      <c r="U21" s="64"/>
    </row>
    <row r="22" spans="4:21" x14ac:dyDescent="0.3">
      <c r="H22" s="64"/>
      <c r="I22" s="64"/>
      <c r="J22" s="64"/>
      <c r="K22" s="64"/>
      <c r="L22" s="64"/>
      <c r="M22" s="64"/>
      <c r="N22" s="64"/>
      <c r="O22" s="64"/>
      <c r="P22" s="64"/>
      <c r="Q22" s="64"/>
      <c r="R22" s="64"/>
      <c r="S22" s="64"/>
      <c r="T22" s="64"/>
      <c r="U22" s="64"/>
    </row>
    <row r="23" spans="4:21" x14ac:dyDescent="0.3">
      <c r="H23" s="64"/>
      <c r="I23" s="64"/>
      <c r="J23" s="64"/>
      <c r="K23" s="64"/>
      <c r="L23" s="64"/>
      <c r="M23" s="64"/>
      <c r="N23" s="64"/>
      <c r="O23" s="64"/>
      <c r="P23" s="64"/>
      <c r="Q23" s="64"/>
      <c r="R23" s="64"/>
      <c r="S23" s="64"/>
      <c r="T23" s="64"/>
      <c r="U23" s="64"/>
    </row>
    <row r="24" spans="4:21" x14ac:dyDescent="0.3">
      <c r="H24" s="64"/>
      <c r="I24" s="64"/>
      <c r="J24" s="64"/>
      <c r="K24" s="64"/>
      <c r="L24" s="64"/>
      <c r="M24" s="64"/>
      <c r="N24" s="64"/>
      <c r="O24" s="64"/>
      <c r="P24" s="64"/>
      <c r="Q24" s="64"/>
      <c r="R24" s="64"/>
      <c r="S24" s="64"/>
      <c r="T24" s="64"/>
      <c r="U24" s="64"/>
    </row>
    <row r="25" spans="4:21" x14ac:dyDescent="0.3">
      <c r="H25" s="64"/>
      <c r="I25" s="64"/>
      <c r="J25" s="64"/>
      <c r="K25" s="64"/>
      <c r="L25" s="64"/>
      <c r="M25" s="64"/>
      <c r="N25" s="64"/>
      <c r="O25" s="64"/>
      <c r="P25" s="64"/>
      <c r="Q25" s="64"/>
      <c r="R25" s="64"/>
      <c r="S25" s="64"/>
      <c r="T25" s="64"/>
      <c r="U25" s="64"/>
    </row>
    <row r="26" spans="4:21" x14ac:dyDescent="0.3">
      <c r="H26" s="64"/>
      <c r="I26" s="64"/>
      <c r="J26" s="64"/>
      <c r="K26" s="64"/>
      <c r="L26" s="64"/>
      <c r="M26" s="64"/>
      <c r="N26" s="64"/>
      <c r="O26" s="64"/>
      <c r="P26" s="64"/>
      <c r="Q26" s="64"/>
      <c r="R26" s="64"/>
      <c r="S26" s="64"/>
      <c r="T26" s="64"/>
      <c r="U26" s="64"/>
    </row>
    <row r="27" spans="4:21" x14ac:dyDescent="0.3">
      <c r="H27" s="64"/>
      <c r="I27" s="64"/>
      <c r="J27" s="64"/>
      <c r="K27" s="64"/>
      <c r="L27" s="64"/>
      <c r="M27" s="64"/>
      <c r="N27" s="64"/>
      <c r="O27" s="64"/>
      <c r="P27" s="64"/>
      <c r="Q27" s="64"/>
      <c r="R27" s="64"/>
      <c r="S27" s="64"/>
      <c r="T27" s="64"/>
      <c r="U27" s="64"/>
    </row>
    <row r="31" spans="4:21" x14ac:dyDescent="0.3">
      <c r="D31" s="50"/>
    </row>
  </sheetData>
  <dataConsolidate/>
  <dataValidations count="2">
    <dataValidation type="list" allowBlank="1" showInputMessage="1" showErrorMessage="1" sqref="C2:C8" xr:uid="{22F1A4B9-D550-4A7F-9A48-7A990B99047E}">
      <formula1>"rate, value"</formula1>
    </dataValidation>
    <dataValidation type="list" allowBlank="1" showInputMessage="1" showErrorMessage="1" sqref="D2:D8" xr:uid="{0580538F-0108-43C5-A653-91B432E019CD}">
      <formula1>"Excel, model"</formula1>
    </dataValidation>
  </dataValidations>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5F99B-3DB6-4B78-B9D0-304CA0B88F3B}">
  <sheetPr filterMode="1">
    <tabColor theme="4" tint="-0.249977111117893"/>
  </sheetPr>
  <dimension ref="A1:E269"/>
  <sheetViews>
    <sheetView workbookViewId="0">
      <selection activeCell="R273" sqref="R273"/>
    </sheetView>
  </sheetViews>
  <sheetFormatPr defaultColWidth="9.109375" defaultRowHeight="14.4" x14ac:dyDescent="0.3"/>
  <cols>
    <col min="1" max="1" width="15.77734375" customWidth="1"/>
    <col min="2" max="2" width="14.77734375" customWidth="1"/>
  </cols>
  <sheetData>
    <row r="1" spans="1:5" x14ac:dyDescent="0.3">
      <c r="A1" s="85" t="s">
        <v>6</v>
      </c>
      <c r="B1" s="84" t="s">
        <v>8</v>
      </c>
      <c r="C1" s="84" t="s">
        <v>5</v>
      </c>
      <c r="D1" s="84" t="s">
        <v>9</v>
      </c>
      <c r="E1" s="84" t="s">
        <v>123</v>
      </c>
    </row>
    <row r="2" spans="1:5" hidden="1" x14ac:dyDescent="0.3">
      <c r="A2" s="1" t="s">
        <v>26</v>
      </c>
      <c r="B2" t="s">
        <v>139</v>
      </c>
      <c r="C2" s="1">
        <v>2015</v>
      </c>
      <c r="D2">
        <v>0</v>
      </c>
      <c r="E2" s="6" t="s">
        <v>126</v>
      </c>
    </row>
    <row r="3" spans="1:5" hidden="1" x14ac:dyDescent="0.3">
      <c r="A3" s="1" t="s">
        <v>26</v>
      </c>
      <c r="B3" t="s">
        <v>139</v>
      </c>
      <c r="C3" s="1">
        <v>2020</v>
      </c>
      <c r="D3">
        <v>0</v>
      </c>
      <c r="E3" s="6" t="s">
        <v>126</v>
      </c>
    </row>
    <row r="4" spans="1:5" hidden="1" x14ac:dyDescent="0.3">
      <c r="A4" s="1" t="s">
        <v>26</v>
      </c>
      <c r="B4" t="s">
        <v>139</v>
      </c>
      <c r="C4" s="1">
        <v>2025</v>
      </c>
      <c r="D4">
        <v>0</v>
      </c>
      <c r="E4" s="6" t="s">
        <v>126</v>
      </c>
    </row>
    <row r="5" spans="1:5" hidden="1" x14ac:dyDescent="0.3">
      <c r="A5" s="1" t="s">
        <v>26</v>
      </c>
      <c r="B5" t="s">
        <v>139</v>
      </c>
      <c r="C5" s="1">
        <v>2030</v>
      </c>
      <c r="D5">
        <v>0</v>
      </c>
      <c r="E5" s="6" t="s">
        <v>126</v>
      </c>
    </row>
    <row r="6" spans="1:5" hidden="1" x14ac:dyDescent="0.3">
      <c r="A6" s="1" t="s">
        <v>26</v>
      </c>
      <c r="B6" t="s">
        <v>139</v>
      </c>
      <c r="C6" s="1">
        <v>2035</v>
      </c>
      <c r="D6">
        <v>0</v>
      </c>
      <c r="E6" s="6" t="s">
        <v>126</v>
      </c>
    </row>
    <row r="7" spans="1:5" hidden="1" x14ac:dyDescent="0.3">
      <c r="A7" s="1" t="s">
        <v>26</v>
      </c>
      <c r="B7" t="s">
        <v>139</v>
      </c>
      <c r="C7" s="1">
        <v>2040</v>
      </c>
      <c r="D7">
        <v>0</v>
      </c>
      <c r="E7" s="6" t="s">
        <v>126</v>
      </c>
    </row>
    <row r="8" spans="1:5" hidden="1" x14ac:dyDescent="0.3">
      <c r="A8" s="1" t="s">
        <v>26</v>
      </c>
      <c r="B8" t="s">
        <v>139</v>
      </c>
      <c r="C8" s="1">
        <v>2045</v>
      </c>
      <c r="D8">
        <v>0</v>
      </c>
      <c r="E8" s="6" t="s">
        <v>126</v>
      </c>
    </row>
    <row r="9" spans="1:5" hidden="1" x14ac:dyDescent="0.3">
      <c r="A9" s="1" t="s">
        <v>26</v>
      </c>
      <c r="B9" t="s">
        <v>139</v>
      </c>
      <c r="C9" s="1">
        <v>2050</v>
      </c>
      <c r="D9">
        <v>0</v>
      </c>
      <c r="E9" s="6" t="s">
        <v>126</v>
      </c>
    </row>
    <row r="10" spans="1:5" hidden="1" x14ac:dyDescent="0.3">
      <c r="A10" s="1" t="s">
        <v>26</v>
      </c>
      <c r="B10" t="s">
        <v>139</v>
      </c>
      <c r="C10" s="1">
        <v>2055</v>
      </c>
      <c r="D10">
        <v>0</v>
      </c>
      <c r="E10" s="6" t="s">
        <v>126</v>
      </c>
    </row>
    <row r="11" spans="1:5" hidden="1" x14ac:dyDescent="0.3">
      <c r="A11" s="1" t="s">
        <v>26</v>
      </c>
      <c r="B11" t="s">
        <v>139</v>
      </c>
      <c r="C11" s="1">
        <v>2060</v>
      </c>
      <c r="D11">
        <v>0</v>
      </c>
      <c r="E11" s="6" t="s">
        <v>126</v>
      </c>
    </row>
    <row r="12" spans="1:5" hidden="1" x14ac:dyDescent="0.3">
      <c r="A12" s="1" t="s">
        <v>26</v>
      </c>
      <c r="B12" t="s">
        <v>139</v>
      </c>
      <c r="C12" s="1">
        <v>2070</v>
      </c>
      <c r="D12">
        <v>0</v>
      </c>
      <c r="E12" s="6" t="s">
        <v>126</v>
      </c>
    </row>
    <row r="13" spans="1:5" hidden="1" x14ac:dyDescent="0.3">
      <c r="A13" s="1" t="s">
        <v>26</v>
      </c>
      <c r="B13" t="s">
        <v>139</v>
      </c>
      <c r="C13" s="1">
        <v>2080</v>
      </c>
      <c r="D13">
        <v>0</v>
      </c>
      <c r="E13" s="6" t="s">
        <v>126</v>
      </c>
    </row>
    <row r="14" spans="1:5" hidden="1" x14ac:dyDescent="0.3">
      <c r="A14" s="1" t="s">
        <v>26</v>
      </c>
      <c r="B14" t="s">
        <v>139</v>
      </c>
      <c r="C14" s="1">
        <v>2090</v>
      </c>
      <c r="D14">
        <v>0</v>
      </c>
      <c r="E14" s="6" t="s">
        <v>126</v>
      </c>
    </row>
    <row r="15" spans="1:5" hidden="1" x14ac:dyDescent="0.3">
      <c r="A15" s="1" t="s">
        <v>26</v>
      </c>
      <c r="B15" t="s">
        <v>139</v>
      </c>
      <c r="C15" s="1">
        <v>2100</v>
      </c>
      <c r="D15">
        <v>0</v>
      </c>
      <c r="E15" s="6" t="s">
        <v>126</v>
      </c>
    </row>
    <row r="16" spans="1:5" hidden="1" x14ac:dyDescent="0.3">
      <c r="A16" s="1" t="s">
        <v>26</v>
      </c>
      <c r="B16" t="s">
        <v>139</v>
      </c>
      <c r="C16" s="1">
        <v>2110</v>
      </c>
      <c r="D16">
        <v>0</v>
      </c>
      <c r="E16" s="6" t="s">
        <v>126</v>
      </c>
    </row>
    <row r="17" spans="1:5" hidden="1" x14ac:dyDescent="0.3">
      <c r="A17" s="1" t="s">
        <v>20</v>
      </c>
      <c r="B17" t="s">
        <v>139</v>
      </c>
      <c r="C17" s="1">
        <v>2015</v>
      </c>
      <c r="D17" s="82">
        <f>75*1.07</f>
        <v>80.25</v>
      </c>
      <c r="E17" s="6" t="s">
        <v>120</v>
      </c>
    </row>
    <row r="18" spans="1:5" hidden="1" x14ac:dyDescent="0.3">
      <c r="A18" s="1" t="s">
        <v>20</v>
      </c>
      <c r="B18" t="s">
        <v>139</v>
      </c>
      <c r="C18" s="1">
        <v>2020</v>
      </c>
      <c r="D18" s="80">
        <v>88.157806396484375</v>
      </c>
      <c r="E18" s="6" t="s">
        <v>120</v>
      </c>
    </row>
    <row r="19" spans="1:5" hidden="1" x14ac:dyDescent="0.3">
      <c r="A19" s="1" t="s">
        <v>20</v>
      </c>
      <c r="B19" t="s">
        <v>139</v>
      </c>
      <c r="C19" s="1">
        <v>2025</v>
      </c>
      <c r="D19" s="80">
        <v>65.389549255371094</v>
      </c>
      <c r="E19" s="6" t="s">
        <v>120</v>
      </c>
    </row>
    <row r="20" spans="1:5" hidden="1" x14ac:dyDescent="0.3">
      <c r="A20" s="1" t="s">
        <v>20</v>
      </c>
      <c r="B20" t="s">
        <v>139</v>
      </c>
      <c r="C20" s="1">
        <v>2030</v>
      </c>
      <c r="D20" s="80">
        <v>51.323410034179688</v>
      </c>
      <c r="E20" s="6" t="s">
        <v>120</v>
      </c>
    </row>
    <row r="21" spans="1:5" hidden="1" x14ac:dyDescent="0.3">
      <c r="A21" s="1" t="s">
        <v>20</v>
      </c>
      <c r="B21" t="s">
        <v>139</v>
      </c>
      <c r="C21" s="1">
        <v>2035</v>
      </c>
      <c r="D21" s="80">
        <v>51.560844421386719</v>
      </c>
      <c r="E21" s="6" t="s">
        <v>120</v>
      </c>
    </row>
    <row r="22" spans="1:5" hidden="1" x14ac:dyDescent="0.3">
      <c r="A22" s="1" t="s">
        <v>20</v>
      </c>
      <c r="B22" t="s">
        <v>139</v>
      </c>
      <c r="C22" s="1">
        <v>2040</v>
      </c>
      <c r="D22" s="80">
        <v>52.463748931884773</v>
      </c>
      <c r="E22" s="6" t="s">
        <v>120</v>
      </c>
    </row>
    <row r="23" spans="1:5" hidden="1" x14ac:dyDescent="0.3">
      <c r="A23" s="1" t="s">
        <v>20</v>
      </c>
      <c r="B23" t="s">
        <v>139</v>
      </c>
      <c r="C23" s="1">
        <v>2045</v>
      </c>
      <c r="D23" s="80">
        <v>52.524749755859382</v>
      </c>
      <c r="E23" s="6" t="s">
        <v>120</v>
      </c>
    </row>
    <row r="24" spans="1:5" hidden="1" x14ac:dyDescent="0.3">
      <c r="A24" s="1" t="s">
        <v>20</v>
      </c>
      <c r="B24" t="s">
        <v>139</v>
      </c>
      <c r="C24" s="1">
        <v>2050</v>
      </c>
      <c r="D24" s="80">
        <v>52.445446014404297</v>
      </c>
      <c r="E24" s="6" t="s">
        <v>120</v>
      </c>
    </row>
    <row r="25" spans="1:5" hidden="1" x14ac:dyDescent="0.3">
      <c r="A25" s="1" t="s">
        <v>20</v>
      </c>
      <c r="B25" t="s">
        <v>139</v>
      </c>
      <c r="C25" s="1">
        <v>2055</v>
      </c>
      <c r="D25" s="80">
        <v>52.366260528564453</v>
      </c>
      <c r="E25" s="6" t="s">
        <v>120</v>
      </c>
    </row>
    <row r="26" spans="1:5" hidden="1" x14ac:dyDescent="0.3">
      <c r="A26" s="1" t="s">
        <v>20</v>
      </c>
      <c r="B26" t="s">
        <v>139</v>
      </c>
      <c r="C26" s="1">
        <v>2060</v>
      </c>
      <c r="D26" s="80">
        <v>52.287197113037109</v>
      </c>
      <c r="E26" s="6" t="s">
        <v>120</v>
      </c>
    </row>
    <row r="27" spans="1:5" hidden="1" x14ac:dyDescent="0.3">
      <c r="A27" s="1" t="s">
        <v>20</v>
      </c>
      <c r="B27" t="s">
        <v>139</v>
      </c>
      <c r="C27" s="1">
        <v>2070</v>
      </c>
      <c r="D27" s="80">
        <v>52.208248138427727</v>
      </c>
      <c r="E27" s="6" t="s">
        <v>120</v>
      </c>
    </row>
    <row r="28" spans="1:5" hidden="1" x14ac:dyDescent="0.3">
      <c r="A28" s="1" t="s">
        <v>20</v>
      </c>
      <c r="B28" t="s">
        <v>139</v>
      </c>
      <c r="C28" s="1">
        <v>2080</v>
      </c>
      <c r="D28" s="80">
        <v>52.208248138427727</v>
      </c>
      <c r="E28" s="6" t="s">
        <v>120</v>
      </c>
    </row>
    <row r="29" spans="1:5" hidden="1" x14ac:dyDescent="0.3">
      <c r="A29" s="1" t="s">
        <v>20</v>
      </c>
      <c r="B29" t="s">
        <v>139</v>
      </c>
      <c r="C29" s="1">
        <v>2090</v>
      </c>
      <c r="D29" s="80">
        <v>52.208248138427727</v>
      </c>
      <c r="E29" s="6" t="s">
        <v>120</v>
      </c>
    </row>
    <row r="30" spans="1:5" hidden="1" x14ac:dyDescent="0.3">
      <c r="A30" s="1" t="s">
        <v>20</v>
      </c>
      <c r="B30" t="s">
        <v>139</v>
      </c>
      <c r="C30" s="1">
        <v>2100</v>
      </c>
      <c r="D30" s="80">
        <v>52.208248138427727</v>
      </c>
      <c r="E30" s="6" t="s">
        <v>120</v>
      </c>
    </row>
    <row r="31" spans="1:5" hidden="1" x14ac:dyDescent="0.3">
      <c r="A31" s="1" t="s">
        <v>20</v>
      </c>
      <c r="B31" t="s">
        <v>139</v>
      </c>
      <c r="C31" s="1">
        <v>2110</v>
      </c>
      <c r="D31" s="80">
        <v>52.208248138427727</v>
      </c>
      <c r="E31" s="6" t="s">
        <v>120</v>
      </c>
    </row>
    <row r="32" spans="1:5" hidden="1" x14ac:dyDescent="0.3">
      <c r="A32" s="1" t="s">
        <v>19</v>
      </c>
      <c r="B32" t="s">
        <v>139</v>
      </c>
      <c r="C32" s="1">
        <v>2015</v>
      </c>
      <c r="D32" s="82">
        <f t="shared" ref="D32:D46" si="0">0.07*8760</f>
        <v>613.20000000000005</v>
      </c>
      <c r="E32" s="6" t="s">
        <v>120</v>
      </c>
    </row>
    <row r="33" spans="1:5" hidden="1" x14ac:dyDescent="0.3">
      <c r="A33" s="1" t="s">
        <v>19</v>
      </c>
      <c r="B33" t="s">
        <v>139</v>
      </c>
      <c r="C33" s="1">
        <v>2020</v>
      </c>
      <c r="D33" s="82">
        <f t="shared" si="0"/>
        <v>613.20000000000005</v>
      </c>
      <c r="E33" s="6" t="s">
        <v>120</v>
      </c>
    </row>
    <row r="34" spans="1:5" hidden="1" x14ac:dyDescent="0.3">
      <c r="A34" s="1" t="s">
        <v>19</v>
      </c>
      <c r="B34" t="s">
        <v>139</v>
      </c>
      <c r="C34" s="1">
        <v>2025</v>
      </c>
      <c r="D34" s="82">
        <f t="shared" si="0"/>
        <v>613.20000000000005</v>
      </c>
      <c r="E34" s="6" t="s">
        <v>120</v>
      </c>
    </row>
    <row r="35" spans="1:5" hidden="1" x14ac:dyDescent="0.3">
      <c r="A35" s="1" t="s">
        <v>19</v>
      </c>
      <c r="B35" t="s">
        <v>139</v>
      </c>
      <c r="C35" s="1">
        <v>2030</v>
      </c>
      <c r="D35" s="82">
        <f t="shared" si="0"/>
        <v>613.20000000000005</v>
      </c>
      <c r="E35" s="6" t="s">
        <v>120</v>
      </c>
    </row>
    <row r="36" spans="1:5" hidden="1" x14ac:dyDescent="0.3">
      <c r="A36" s="1" t="s">
        <v>19</v>
      </c>
      <c r="B36" t="s">
        <v>139</v>
      </c>
      <c r="C36" s="1">
        <v>2035</v>
      </c>
      <c r="D36" s="82">
        <f t="shared" si="0"/>
        <v>613.20000000000005</v>
      </c>
      <c r="E36" s="6" t="s">
        <v>120</v>
      </c>
    </row>
    <row r="37" spans="1:5" hidden="1" x14ac:dyDescent="0.3">
      <c r="A37" s="1" t="s">
        <v>19</v>
      </c>
      <c r="B37" t="s">
        <v>139</v>
      </c>
      <c r="C37" s="1">
        <v>2040</v>
      </c>
      <c r="D37" s="82">
        <f t="shared" si="0"/>
        <v>613.20000000000005</v>
      </c>
      <c r="E37" s="6" t="s">
        <v>120</v>
      </c>
    </row>
    <row r="38" spans="1:5" hidden="1" x14ac:dyDescent="0.3">
      <c r="A38" s="1" t="s">
        <v>19</v>
      </c>
      <c r="B38" t="s">
        <v>139</v>
      </c>
      <c r="C38" s="1">
        <v>2045</v>
      </c>
      <c r="D38" s="82">
        <f t="shared" si="0"/>
        <v>613.20000000000005</v>
      </c>
      <c r="E38" s="6" t="s">
        <v>120</v>
      </c>
    </row>
    <row r="39" spans="1:5" hidden="1" x14ac:dyDescent="0.3">
      <c r="A39" s="1" t="s">
        <v>19</v>
      </c>
      <c r="B39" t="s">
        <v>139</v>
      </c>
      <c r="C39" s="1">
        <v>2050</v>
      </c>
      <c r="D39" s="82">
        <f t="shared" si="0"/>
        <v>613.20000000000005</v>
      </c>
      <c r="E39" s="6" t="s">
        <v>120</v>
      </c>
    </row>
    <row r="40" spans="1:5" hidden="1" x14ac:dyDescent="0.3">
      <c r="A40" s="1" t="s">
        <v>19</v>
      </c>
      <c r="B40" t="s">
        <v>139</v>
      </c>
      <c r="C40" s="1">
        <v>2055</v>
      </c>
      <c r="D40" s="82">
        <f t="shared" si="0"/>
        <v>613.20000000000005</v>
      </c>
      <c r="E40" s="6" t="s">
        <v>120</v>
      </c>
    </row>
    <row r="41" spans="1:5" hidden="1" x14ac:dyDescent="0.3">
      <c r="A41" s="1" t="s">
        <v>19</v>
      </c>
      <c r="B41" t="s">
        <v>139</v>
      </c>
      <c r="C41" s="1">
        <v>2060</v>
      </c>
      <c r="D41" s="82">
        <f t="shared" si="0"/>
        <v>613.20000000000005</v>
      </c>
      <c r="E41" s="6" t="s">
        <v>120</v>
      </c>
    </row>
    <row r="42" spans="1:5" hidden="1" x14ac:dyDescent="0.3">
      <c r="A42" s="1" t="s">
        <v>19</v>
      </c>
      <c r="B42" t="s">
        <v>139</v>
      </c>
      <c r="C42" s="1">
        <v>2070</v>
      </c>
      <c r="D42" s="82">
        <f t="shared" si="0"/>
        <v>613.20000000000005</v>
      </c>
      <c r="E42" s="6" t="s">
        <v>120</v>
      </c>
    </row>
    <row r="43" spans="1:5" hidden="1" x14ac:dyDescent="0.3">
      <c r="A43" s="1" t="s">
        <v>19</v>
      </c>
      <c r="B43" t="s">
        <v>139</v>
      </c>
      <c r="C43" s="1">
        <v>2080</v>
      </c>
      <c r="D43" s="82">
        <f t="shared" si="0"/>
        <v>613.20000000000005</v>
      </c>
      <c r="E43" s="6" t="s">
        <v>120</v>
      </c>
    </row>
    <row r="44" spans="1:5" hidden="1" x14ac:dyDescent="0.3">
      <c r="A44" s="1" t="s">
        <v>19</v>
      </c>
      <c r="B44" t="s">
        <v>139</v>
      </c>
      <c r="C44" s="1">
        <v>2090</v>
      </c>
      <c r="D44" s="82">
        <f t="shared" si="0"/>
        <v>613.20000000000005</v>
      </c>
      <c r="E44" s="6" t="s">
        <v>120</v>
      </c>
    </row>
    <row r="45" spans="1:5" hidden="1" x14ac:dyDescent="0.3">
      <c r="A45" s="1" t="s">
        <v>19</v>
      </c>
      <c r="B45" t="s">
        <v>139</v>
      </c>
      <c r="C45" s="1">
        <v>2100</v>
      </c>
      <c r="D45" s="82">
        <f t="shared" si="0"/>
        <v>613.20000000000005</v>
      </c>
      <c r="E45" s="6" t="s">
        <v>120</v>
      </c>
    </row>
    <row r="46" spans="1:5" hidden="1" x14ac:dyDescent="0.3">
      <c r="A46" s="1" t="s">
        <v>19</v>
      </c>
      <c r="B46" t="s">
        <v>139</v>
      </c>
      <c r="C46" s="1">
        <v>2110</v>
      </c>
      <c r="D46" s="82">
        <f t="shared" si="0"/>
        <v>613.20000000000005</v>
      </c>
      <c r="E46" s="6" t="s">
        <v>120</v>
      </c>
    </row>
    <row r="47" spans="1:5" hidden="1" x14ac:dyDescent="0.3">
      <c r="A47" s="1" t="s">
        <v>105</v>
      </c>
      <c r="B47" t="s">
        <v>139</v>
      </c>
      <c r="C47" s="1">
        <v>2025</v>
      </c>
      <c r="D47">
        <v>0</v>
      </c>
      <c r="E47" s="6" t="s">
        <v>126</v>
      </c>
    </row>
    <row r="48" spans="1:5" hidden="1" x14ac:dyDescent="0.3">
      <c r="A48" s="1" t="s">
        <v>105</v>
      </c>
      <c r="B48" t="s">
        <v>139</v>
      </c>
      <c r="C48" s="1">
        <v>2030</v>
      </c>
      <c r="D48">
        <v>0</v>
      </c>
      <c r="E48" s="6" t="s">
        <v>126</v>
      </c>
    </row>
    <row r="49" spans="1:5" hidden="1" x14ac:dyDescent="0.3">
      <c r="A49" s="1" t="s">
        <v>105</v>
      </c>
      <c r="B49" t="s">
        <v>139</v>
      </c>
      <c r="C49" s="1">
        <v>2035</v>
      </c>
      <c r="D49">
        <v>0</v>
      </c>
      <c r="E49" s="6" t="s">
        <v>126</v>
      </c>
    </row>
    <row r="50" spans="1:5" hidden="1" x14ac:dyDescent="0.3">
      <c r="A50" s="1" t="s">
        <v>105</v>
      </c>
      <c r="B50" t="s">
        <v>139</v>
      </c>
      <c r="C50" s="1">
        <v>2040</v>
      </c>
      <c r="D50">
        <v>0</v>
      </c>
      <c r="E50" s="6" t="s">
        <v>126</v>
      </c>
    </row>
    <row r="51" spans="1:5" hidden="1" x14ac:dyDescent="0.3">
      <c r="A51" s="1" t="s">
        <v>105</v>
      </c>
      <c r="B51" t="s">
        <v>139</v>
      </c>
      <c r="C51" s="1">
        <v>2045</v>
      </c>
      <c r="D51">
        <v>0</v>
      </c>
      <c r="E51" s="6" t="s">
        <v>126</v>
      </c>
    </row>
    <row r="52" spans="1:5" hidden="1" x14ac:dyDescent="0.3">
      <c r="A52" s="1" t="s">
        <v>105</v>
      </c>
      <c r="B52" t="s">
        <v>139</v>
      </c>
      <c r="C52" s="1">
        <v>2050</v>
      </c>
      <c r="D52">
        <v>0</v>
      </c>
      <c r="E52" s="6" t="s">
        <v>126</v>
      </c>
    </row>
    <row r="53" spans="1:5" hidden="1" x14ac:dyDescent="0.3">
      <c r="A53" s="1" t="s">
        <v>105</v>
      </c>
      <c r="B53" t="s">
        <v>139</v>
      </c>
      <c r="C53" s="1">
        <v>2055</v>
      </c>
      <c r="D53">
        <v>0</v>
      </c>
      <c r="E53" s="6" t="s">
        <v>126</v>
      </c>
    </row>
    <row r="54" spans="1:5" hidden="1" x14ac:dyDescent="0.3">
      <c r="A54" s="1" t="s">
        <v>105</v>
      </c>
      <c r="B54" t="s">
        <v>139</v>
      </c>
      <c r="C54" s="1">
        <v>2060</v>
      </c>
      <c r="D54">
        <v>0</v>
      </c>
      <c r="E54" s="6" t="s">
        <v>126</v>
      </c>
    </row>
    <row r="55" spans="1:5" hidden="1" x14ac:dyDescent="0.3">
      <c r="A55" s="1" t="s">
        <v>105</v>
      </c>
      <c r="B55" t="s">
        <v>139</v>
      </c>
      <c r="C55" s="1">
        <v>2070</v>
      </c>
      <c r="D55">
        <v>0</v>
      </c>
      <c r="E55" s="6" t="s">
        <v>126</v>
      </c>
    </row>
    <row r="56" spans="1:5" hidden="1" x14ac:dyDescent="0.3">
      <c r="A56" s="1" t="s">
        <v>105</v>
      </c>
      <c r="B56" t="s">
        <v>139</v>
      </c>
      <c r="C56" s="1">
        <v>2080</v>
      </c>
      <c r="D56">
        <v>0</v>
      </c>
      <c r="E56" s="6" t="s">
        <v>126</v>
      </c>
    </row>
    <row r="57" spans="1:5" hidden="1" x14ac:dyDescent="0.3">
      <c r="A57" s="1" t="s">
        <v>105</v>
      </c>
      <c r="B57" t="s">
        <v>139</v>
      </c>
      <c r="C57" s="1">
        <v>2090</v>
      </c>
      <c r="D57">
        <v>0</v>
      </c>
      <c r="E57" s="6" t="s">
        <v>126</v>
      </c>
    </row>
    <row r="58" spans="1:5" hidden="1" x14ac:dyDescent="0.3">
      <c r="A58" s="1" t="s">
        <v>105</v>
      </c>
      <c r="B58" t="s">
        <v>139</v>
      </c>
      <c r="C58" s="1">
        <v>2100</v>
      </c>
      <c r="D58">
        <v>0</v>
      </c>
      <c r="E58" s="6" t="s">
        <v>126</v>
      </c>
    </row>
    <row r="59" spans="1:5" hidden="1" x14ac:dyDescent="0.3">
      <c r="A59" s="1" t="s">
        <v>105</v>
      </c>
      <c r="B59" t="s">
        <v>139</v>
      </c>
      <c r="C59" s="1">
        <v>2110</v>
      </c>
      <c r="D59">
        <v>0</v>
      </c>
      <c r="E59" s="6" t="s">
        <v>126</v>
      </c>
    </row>
    <row r="60" spans="1:5" hidden="1" x14ac:dyDescent="0.3">
      <c r="A60" s="1" t="s">
        <v>140</v>
      </c>
      <c r="B60" t="s">
        <v>139</v>
      </c>
      <c r="C60" s="1">
        <v>2015</v>
      </c>
      <c r="D60" s="82">
        <f t="shared" ref="D60:D74" si="1">((2/3.875)/18.4)*1000*32</f>
        <v>897.61570827489493</v>
      </c>
      <c r="E60" s="6" t="s">
        <v>120</v>
      </c>
    </row>
    <row r="61" spans="1:5" hidden="1" x14ac:dyDescent="0.3">
      <c r="A61" s="1" t="s">
        <v>140</v>
      </c>
      <c r="B61" t="s">
        <v>139</v>
      </c>
      <c r="C61" s="1">
        <v>2020</v>
      </c>
      <c r="D61" s="82">
        <f t="shared" si="1"/>
        <v>897.61570827489493</v>
      </c>
      <c r="E61" s="6" t="s">
        <v>120</v>
      </c>
    </row>
    <row r="62" spans="1:5" hidden="1" x14ac:dyDescent="0.3">
      <c r="A62" s="1" t="s">
        <v>140</v>
      </c>
      <c r="B62" t="s">
        <v>139</v>
      </c>
      <c r="C62" s="1">
        <v>2025</v>
      </c>
      <c r="D62" s="82">
        <f t="shared" si="1"/>
        <v>897.61570827489493</v>
      </c>
      <c r="E62" s="6" t="s">
        <v>120</v>
      </c>
    </row>
    <row r="63" spans="1:5" hidden="1" x14ac:dyDescent="0.3">
      <c r="A63" s="1" t="s">
        <v>140</v>
      </c>
      <c r="B63" t="s">
        <v>139</v>
      </c>
      <c r="C63" s="1">
        <v>2030</v>
      </c>
      <c r="D63" s="82">
        <f t="shared" si="1"/>
        <v>897.61570827489493</v>
      </c>
      <c r="E63" s="6" t="s">
        <v>120</v>
      </c>
    </row>
    <row r="64" spans="1:5" hidden="1" x14ac:dyDescent="0.3">
      <c r="A64" s="1" t="s">
        <v>140</v>
      </c>
      <c r="B64" t="s">
        <v>139</v>
      </c>
      <c r="C64" s="1">
        <v>2035</v>
      </c>
      <c r="D64" s="82">
        <f t="shared" si="1"/>
        <v>897.61570827489493</v>
      </c>
      <c r="E64" s="6" t="s">
        <v>120</v>
      </c>
    </row>
    <row r="65" spans="1:5" hidden="1" x14ac:dyDescent="0.3">
      <c r="A65" s="1" t="s">
        <v>140</v>
      </c>
      <c r="B65" t="s">
        <v>139</v>
      </c>
      <c r="C65" s="1">
        <v>2040</v>
      </c>
      <c r="D65" s="82">
        <f t="shared" si="1"/>
        <v>897.61570827489493</v>
      </c>
      <c r="E65" s="6" t="s">
        <v>120</v>
      </c>
    </row>
    <row r="66" spans="1:5" hidden="1" x14ac:dyDescent="0.3">
      <c r="A66" s="1" t="s">
        <v>140</v>
      </c>
      <c r="B66" t="s">
        <v>139</v>
      </c>
      <c r="C66" s="1">
        <v>2045</v>
      </c>
      <c r="D66" s="82">
        <f t="shared" si="1"/>
        <v>897.61570827489493</v>
      </c>
      <c r="E66" s="6" t="s">
        <v>120</v>
      </c>
    </row>
    <row r="67" spans="1:5" hidden="1" x14ac:dyDescent="0.3">
      <c r="A67" s="1" t="s">
        <v>140</v>
      </c>
      <c r="B67" t="s">
        <v>139</v>
      </c>
      <c r="C67" s="1">
        <v>2050</v>
      </c>
      <c r="D67" s="82">
        <f t="shared" si="1"/>
        <v>897.61570827489493</v>
      </c>
      <c r="E67" s="6" t="s">
        <v>120</v>
      </c>
    </row>
    <row r="68" spans="1:5" hidden="1" x14ac:dyDescent="0.3">
      <c r="A68" s="1" t="s">
        <v>140</v>
      </c>
      <c r="B68" t="s">
        <v>139</v>
      </c>
      <c r="C68" s="1">
        <v>2055</v>
      </c>
      <c r="D68" s="82">
        <f t="shared" si="1"/>
        <v>897.61570827489493</v>
      </c>
      <c r="E68" s="6" t="s">
        <v>120</v>
      </c>
    </row>
    <row r="69" spans="1:5" hidden="1" x14ac:dyDescent="0.3">
      <c r="A69" s="1" t="s">
        <v>140</v>
      </c>
      <c r="B69" t="s">
        <v>139</v>
      </c>
      <c r="C69" s="1">
        <v>2060</v>
      </c>
      <c r="D69" s="82">
        <f t="shared" si="1"/>
        <v>897.61570827489493</v>
      </c>
      <c r="E69" s="6" t="s">
        <v>120</v>
      </c>
    </row>
    <row r="70" spans="1:5" hidden="1" x14ac:dyDescent="0.3">
      <c r="A70" s="1" t="s">
        <v>140</v>
      </c>
      <c r="B70" t="s">
        <v>139</v>
      </c>
      <c r="C70" s="1">
        <v>2070</v>
      </c>
      <c r="D70" s="82">
        <f t="shared" si="1"/>
        <v>897.61570827489493</v>
      </c>
      <c r="E70" s="6" t="s">
        <v>120</v>
      </c>
    </row>
    <row r="71" spans="1:5" hidden="1" x14ac:dyDescent="0.3">
      <c r="A71" s="1" t="s">
        <v>140</v>
      </c>
      <c r="B71" t="s">
        <v>139</v>
      </c>
      <c r="C71" s="1">
        <v>2080</v>
      </c>
      <c r="D71" s="82">
        <f t="shared" si="1"/>
        <v>897.61570827489493</v>
      </c>
      <c r="E71" s="6" t="s">
        <v>120</v>
      </c>
    </row>
    <row r="72" spans="1:5" hidden="1" x14ac:dyDescent="0.3">
      <c r="A72" s="1" t="s">
        <v>140</v>
      </c>
      <c r="B72" t="s">
        <v>139</v>
      </c>
      <c r="C72" s="1">
        <v>2090</v>
      </c>
      <c r="D72" s="82">
        <f t="shared" si="1"/>
        <v>897.61570827489493</v>
      </c>
      <c r="E72" s="6" t="s">
        <v>120</v>
      </c>
    </row>
    <row r="73" spans="1:5" hidden="1" x14ac:dyDescent="0.3">
      <c r="A73" s="1" t="s">
        <v>140</v>
      </c>
      <c r="B73" t="s">
        <v>139</v>
      </c>
      <c r="C73" s="1">
        <v>2100</v>
      </c>
      <c r="D73" s="82">
        <f t="shared" si="1"/>
        <v>897.61570827489493</v>
      </c>
      <c r="E73" s="6" t="s">
        <v>120</v>
      </c>
    </row>
    <row r="74" spans="1:5" hidden="1" x14ac:dyDescent="0.3">
      <c r="A74" s="1" t="s">
        <v>140</v>
      </c>
      <c r="B74" t="s">
        <v>139</v>
      </c>
      <c r="C74" s="1">
        <v>2110</v>
      </c>
      <c r="D74" s="82">
        <f t="shared" si="1"/>
        <v>897.61570827489493</v>
      </c>
      <c r="E74" s="6" t="s">
        <v>120</v>
      </c>
    </row>
    <row r="75" spans="1:5" hidden="1" x14ac:dyDescent="0.3">
      <c r="A75" s="1" t="s">
        <v>24</v>
      </c>
      <c r="B75" t="s">
        <v>139</v>
      </c>
      <c r="C75" s="1">
        <v>2015</v>
      </c>
      <c r="D75">
        <v>0</v>
      </c>
      <c r="E75" s="6" t="s">
        <v>126</v>
      </c>
    </row>
    <row r="76" spans="1:5" hidden="1" x14ac:dyDescent="0.3">
      <c r="A76" s="1" t="s">
        <v>24</v>
      </c>
      <c r="B76" t="s">
        <v>139</v>
      </c>
      <c r="C76" s="1">
        <v>2020</v>
      </c>
      <c r="D76">
        <v>0</v>
      </c>
      <c r="E76" s="6" t="s">
        <v>126</v>
      </c>
    </row>
    <row r="77" spans="1:5" hidden="1" x14ac:dyDescent="0.3">
      <c r="A77" s="1" t="s">
        <v>24</v>
      </c>
      <c r="B77" t="s">
        <v>139</v>
      </c>
      <c r="C77" s="1">
        <v>2025</v>
      </c>
      <c r="D77">
        <v>0</v>
      </c>
      <c r="E77" s="6" t="s">
        <v>126</v>
      </c>
    </row>
    <row r="78" spans="1:5" hidden="1" x14ac:dyDescent="0.3">
      <c r="A78" s="1" t="s">
        <v>24</v>
      </c>
      <c r="B78" t="s">
        <v>139</v>
      </c>
      <c r="C78" s="1">
        <v>2030</v>
      </c>
      <c r="D78">
        <v>0</v>
      </c>
      <c r="E78" s="6" t="s">
        <v>126</v>
      </c>
    </row>
    <row r="79" spans="1:5" hidden="1" x14ac:dyDescent="0.3">
      <c r="A79" s="1" t="s">
        <v>24</v>
      </c>
      <c r="B79" t="s">
        <v>139</v>
      </c>
      <c r="C79" s="1">
        <v>2035</v>
      </c>
      <c r="D79">
        <v>0</v>
      </c>
      <c r="E79" s="6" t="s">
        <v>126</v>
      </c>
    </row>
    <row r="80" spans="1:5" hidden="1" x14ac:dyDescent="0.3">
      <c r="A80" s="1" t="s">
        <v>24</v>
      </c>
      <c r="B80" t="s">
        <v>139</v>
      </c>
      <c r="C80" s="1">
        <v>2040</v>
      </c>
      <c r="D80">
        <v>0</v>
      </c>
      <c r="E80" s="6" t="s">
        <v>126</v>
      </c>
    </row>
    <row r="81" spans="1:5" hidden="1" x14ac:dyDescent="0.3">
      <c r="A81" s="1" t="s">
        <v>24</v>
      </c>
      <c r="B81" t="s">
        <v>139</v>
      </c>
      <c r="C81" s="1">
        <v>2045</v>
      </c>
      <c r="D81">
        <v>0</v>
      </c>
      <c r="E81" s="6" t="s">
        <v>126</v>
      </c>
    </row>
    <row r="82" spans="1:5" hidden="1" x14ac:dyDescent="0.3">
      <c r="A82" s="1" t="s">
        <v>24</v>
      </c>
      <c r="B82" t="s">
        <v>139</v>
      </c>
      <c r="C82" s="1">
        <v>2050</v>
      </c>
      <c r="D82">
        <v>0</v>
      </c>
      <c r="E82" s="6" t="s">
        <v>126</v>
      </c>
    </row>
    <row r="83" spans="1:5" hidden="1" x14ac:dyDescent="0.3">
      <c r="A83" s="1" t="s">
        <v>24</v>
      </c>
      <c r="B83" t="s">
        <v>139</v>
      </c>
      <c r="C83" s="1">
        <v>2055</v>
      </c>
      <c r="D83">
        <v>0</v>
      </c>
      <c r="E83" s="6" t="s">
        <v>126</v>
      </c>
    </row>
    <row r="84" spans="1:5" hidden="1" x14ac:dyDescent="0.3">
      <c r="A84" s="1" t="s">
        <v>24</v>
      </c>
      <c r="B84" t="s">
        <v>139</v>
      </c>
      <c r="C84" s="1">
        <v>2060</v>
      </c>
      <c r="D84">
        <v>0</v>
      </c>
      <c r="E84" s="6" t="s">
        <v>126</v>
      </c>
    </row>
    <row r="85" spans="1:5" hidden="1" x14ac:dyDescent="0.3">
      <c r="A85" s="1" t="s">
        <v>24</v>
      </c>
      <c r="B85" t="s">
        <v>139</v>
      </c>
      <c r="C85" s="1">
        <v>2070</v>
      </c>
      <c r="D85">
        <v>0</v>
      </c>
      <c r="E85" s="6" t="s">
        <v>126</v>
      </c>
    </row>
    <row r="86" spans="1:5" hidden="1" x14ac:dyDescent="0.3">
      <c r="A86" s="1" t="s">
        <v>24</v>
      </c>
      <c r="B86" t="s">
        <v>139</v>
      </c>
      <c r="C86" s="1">
        <v>2080</v>
      </c>
      <c r="D86">
        <v>0</v>
      </c>
      <c r="E86" s="6" t="s">
        <v>126</v>
      </c>
    </row>
    <row r="87" spans="1:5" hidden="1" x14ac:dyDescent="0.3">
      <c r="A87" s="1" t="s">
        <v>24</v>
      </c>
      <c r="B87" t="s">
        <v>139</v>
      </c>
      <c r="C87" s="1">
        <v>2090</v>
      </c>
      <c r="D87">
        <v>0</v>
      </c>
      <c r="E87" s="6" t="s">
        <v>126</v>
      </c>
    </row>
    <row r="88" spans="1:5" hidden="1" x14ac:dyDescent="0.3">
      <c r="A88" s="1" t="s">
        <v>24</v>
      </c>
      <c r="B88" t="s">
        <v>139</v>
      </c>
      <c r="C88" s="1">
        <v>2100</v>
      </c>
      <c r="D88">
        <v>0</v>
      </c>
      <c r="E88" s="6" t="s">
        <v>126</v>
      </c>
    </row>
    <row r="89" spans="1:5" hidden="1" x14ac:dyDescent="0.3">
      <c r="A89" s="1" t="s">
        <v>24</v>
      </c>
      <c r="B89" t="s">
        <v>139</v>
      </c>
      <c r="C89" s="1">
        <v>2110</v>
      </c>
      <c r="D89">
        <v>0</v>
      </c>
      <c r="E89" s="6" t="s">
        <v>126</v>
      </c>
    </row>
    <row r="90" spans="1:5" hidden="1" x14ac:dyDescent="0.3">
      <c r="A90" s="1" t="s">
        <v>17</v>
      </c>
      <c r="B90" t="s">
        <v>139</v>
      </c>
      <c r="C90" s="1">
        <v>2015</v>
      </c>
      <c r="D90" s="83">
        <v>303.04769897460938</v>
      </c>
      <c r="E90" s="6" t="s">
        <v>120</v>
      </c>
    </row>
    <row r="91" spans="1:5" hidden="1" x14ac:dyDescent="0.3">
      <c r="A91" s="1" t="s">
        <v>17</v>
      </c>
      <c r="B91" t="s">
        <v>139</v>
      </c>
      <c r="C91" s="1">
        <v>2020</v>
      </c>
      <c r="D91" s="83">
        <v>326.74517822265619</v>
      </c>
      <c r="E91" s="6" t="s">
        <v>120</v>
      </c>
    </row>
    <row r="92" spans="1:5" hidden="1" x14ac:dyDescent="0.3">
      <c r="A92" s="1" t="s">
        <v>17</v>
      </c>
      <c r="B92" t="s">
        <v>139</v>
      </c>
      <c r="C92" s="1">
        <v>2025</v>
      </c>
      <c r="D92" s="83">
        <v>322.44915771484381</v>
      </c>
      <c r="E92" s="6" t="s">
        <v>120</v>
      </c>
    </row>
    <row r="93" spans="1:5" hidden="1" x14ac:dyDescent="0.3">
      <c r="A93" s="1" t="s">
        <v>17</v>
      </c>
      <c r="B93" t="s">
        <v>139</v>
      </c>
      <c r="C93" s="1">
        <v>2030</v>
      </c>
      <c r="D93" s="83">
        <v>325.17654418945313</v>
      </c>
      <c r="E93" s="6" t="s">
        <v>120</v>
      </c>
    </row>
    <row r="94" spans="1:5" hidden="1" x14ac:dyDescent="0.3">
      <c r="A94" s="16" t="s">
        <v>17</v>
      </c>
      <c r="B94" s="15" t="s">
        <v>139</v>
      </c>
      <c r="C94" s="1">
        <v>2035</v>
      </c>
      <c r="D94" s="78">
        <v>337.179931640625</v>
      </c>
      <c r="E94" s="6" t="s">
        <v>120</v>
      </c>
    </row>
    <row r="95" spans="1:5" hidden="1" x14ac:dyDescent="0.3">
      <c r="A95" s="14" t="s">
        <v>17</v>
      </c>
      <c r="B95" s="13" t="s">
        <v>139</v>
      </c>
      <c r="C95" s="1">
        <v>2040</v>
      </c>
      <c r="D95" s="79">
        <v>349.62640380859381</v>
      </c>
      <c r="E95" s="6" t="s">
        <v>120</v>
      </c>
    </row>
    <row r="96" spans="1:5" hidden="1" x14ac:dyDescent="0.3">
      <c r="A96" s="1" t="s">
        <v>17</v>
      </c>
      <c r="B96" t="s">
        <v>139</v>
      </c>
      <c r="C96" s="1">
        <v>2045</v>
      </c>
      <c r="D96" s="83">
        <v>355.78085327148438</v>
      </c>
      <c r="E96" s="6" t="s">
        <v>120</v>
      </c>
    </row>
    <row r="97" spans="1:5" hidden="1" x14ac:dyDescent="0.3">
      <c r="A97" s="1" t="s">
        <v>17</v>
      </c>
      <c r="B97" t="s">
        <v>139</v>
      </c>
      <c r="C97" s="1">
        <v>2050</v>
      </c>
      <c r="D97" s="83">
        <v>355.72573852539063</v>
      </c>
      <c r="E97" s="6" t="s">
        <v>120</v>
      </c>
    </row>
    <row r="98" spans="1:5" hidden="1" x14ac:dyDescent="0.3">
      <c r="A98" s="1" t="s">
        <v>17</v>
      </c>
      <c r="B98" t="s">
        <v>139</v>
      </c>
      <c r="C98" s="1">
        <v>2055</v>
      </c>
      <c r="D98" s="83">
        <v>355.67068481445313</v>
      </c>
      <c r="E98" s="6" t="s">
        <v>120</v>
      </c>
    </row>
    <row r="99" spans="1:5" hidden="1" x14ac:dyDescent="0.3">
      <c r="A99" s="1" t="s">
        <v>17</v>
      </c>
      <c r="B99" t="s">
        <v>139</v>
      </c>
      <c r="C99" s="1">
        <v>2060</v>
      </c>
      <c r="D99" s="83">
        <v>355.6156005859375</v>
      </c>
      <c r="E99" s="6" t="s">
        <v>120</v>
      </c>
    </row>
    <row r="100" spans="1:5" hidden="1" x14ac:dyDescent="0.3">
      <c r="A100" s="1" t="s">
        <v>17</v>
      </c>
      <c r="B100" t="s">
        <v>139</v>
      </c>
      <c r="C100" s="1">
        <v>2070</v>
      </c>
      <c r="D100" s="83">
        <v>355.560546875</v>
      </c>
      <c r="E100" s="6" t="s">
        <v>120</v>
      </c>
    </row>
    <row r="101" spans="1:5" hidden="1" x14ac:dyDescent="0.3">
      <c r="A101" s="1" t="s">
        <v>17</v>
      </c>
      <c r="B101" t="s">
        <v>139</v>
      </c>
      <c r="C101" s="1">
        <v>2080</v>
      </c>
      <c r="D101" s="83">
        <v>355.560546875</v>
      </c>
      <c r="E101" s="6" t="s">
        <v>120</v>
      </c>
    </row>
    <row r="102" spans="1:5" hidden="1" x14ac:dyDescent="0.3">
      <c r="A102" s="1" t="s">
        <v>17</v>
      </c>
      <c r="B102" t="s">
        <v>139</v>
      </c>
      <c r="C102" s="1">
        <v>2090</v>
      </c>
      <c r="D102" s="83">
        <v>355.560546875</v>
      </c>
      <c r="E102" s="6" t="s">
        <v>120</v>
      </c>
    </row>
    <row r="103" spans="1:5" hidden="1" x14ac:dyDescent="0.3">
      <c r="A103" s="1" t="s">
        <v>17</v>
      </c>
      <c r="B103" t="s">
        <v>139</v>
      </c>
      <c r="C103" s="1">
        <v>2100</v>
      </c>
      <c r="D103" s="83">
        <v>355.560546875</v>
      </c>
      <c r="E103" s="6" t="s">
        <v>120</v>
      </c>
    </row>
    <row r="104" spans="1:5" hidden="1" x14ac:dyDescent="0.3">
      <c r="A104" s="1" t="s">
        <v>17</v>
      </c>
      <c r="B104" t="s">
        <v>139</v>
      </c>
      <c r="C104" s="1">
        <v>2110</v>
      </c>
      <c r="D104" s="83">
        <v>355.560546875</v>
      </c>
      <c r="E104" s="6" t="s">
        <v>120</v>
      </c>
    </row>
    <row r="105" spans="1:5" hidden="1" x14ac:dyDescent="0.3">
      <c r="A105" s="16" t="s">
        <v>18</v>
      </c>
      <c r="B105" s="15" t="s">
        <v>139</v>
      </c>
      <c r="C105" s="1">
        <v>2015</v>
      </c>
      <c r="D105" s="78">
        <v>210.9100036621094</v>
      </c>
      <c r="E105" s="6" t="s">
        <v>120</v>
      </c>
    </row>
    <row r="106" spans="1:5" hidden="1" x14ac:dyDescent="0.3">
      <c r="A106" s="14" t="s">
        <v>18</v>
      </c>
      <c r="B106" s="13" t="s">
        <v>139</v>
      </c>
      <c r="C106" s="1">
        <v>2020</v>
      </c>
      <c r="D106" s="79">
        <v>179.08424377441409</v>
      </c>
      <c r="E106" s="6" t="s">
        <v>120</v>
      </c>
    </row>
    <row r="107" spans="1:5" hidden="1" x14ac:dyDescent="0.3">
      <c r="A107" s="1" t="s">
        <v>18</v>
      </c>
      <c r="B107" t="s">
        <v>139</v>
      </c>
      <c r="C107" s="1">
        <v>2025</v>
      </c>
      <c r="D107" s="83">
        <v>154.10224914550781</v>
      </c>
      <c r="E107" s="6" t="s">
        <v>120</v>
      </c>
    </row>
    <row r="108" spans="1:5" hidden="1" x14ac:dyDescent="0.3">
      <c r="A108" s="1" t="s">
        <v>18</v>
      </c>
      <c r="B108" t="s">
        <v>139</v>
      </c>
      <c r="C108" s="1">
        <v>2030</v>
      </c>
      <c r="D108" s="83">
        <v>185.48394775390619</v>
      </c>
      <c r="E108" s="6" t="s">
        <v>120</v>
      </c>
    </row>
    <row r="109" spans="1:5" hidden="1" x14ac:dyDescent="0.3">
      <c r="A109" s="1" t="s">
        <v>18</v>
      </c>
      <c r="B109" t="s">
        <v>139</v>
      </c>
      <c r="C109" s="1">
        <v>2035</v>
      </c>
      <c r="D109" s="83">
        <v>199.11323547363281</v>
      </c>
      <c r="E109" s="6" t="s">
        <v>120</v>
      </c>
    </row>
    <row r="110" spans="1:5" hidden="1" x14ac:dyDescent="0.3">
      <c r="A110" s="1" t="s">
        <v>18</v>
      </c>
      <c r="B110" t="s">
        <v>139</v>
      </c>
      <c r="C110" s="1">
        <v>2040</v>
      </c>
      <c r="D110" s="83">
        <v>204.45899963378909</v>
      </c>
      <c r="E110" s="6" t="s">
        <v>120</v>
      </c>
    </row>
    <row r="111" spans="1:5" hidden="1" x14ac:dyDescent="0.3">
      <c r="A111" s="1" t="s">
        <v>18</v>
      </c>
      <c r="B111" t="s">
        <v>139</v>
      </c>
      <c r="C111" s="1">
        <v>2045</v>
      </c>
      <c r="D111" s="83">
        <v>216.77679443359381</v>
      </c>
      <c r="E111" s="6" t="s">
        <v>120</v>
      </c>
    </row>
    <row r="112" spans="1:5" hidden="1" x14ac:dyDescent="0.3">
      <c r="A112" s="1" t="s">
        <v>18</v>
      </c>
      <c r="B112" t="s">
        <v>139</v>
      </c>
      <c r="C112" s="1">
        <v>2050</v>
      </c>
      <c r="D112" s="83">
        <v>234.45637512207031</v>
      </c>
      <c r="E112" s="6" t="s">
        <v>120</v>
      </c>
    </row>
    <row r="113" spans="1:5" hidden="1" x14ac:dyDescent="0.3">
      <c r="A113" s="1" t="s">
        <v>18</v>
      </c>
      <c r="B113" t="s">
        <v>139</v>
      </c>
      <c r="C113" s="1">
        <v>2055</v>
      </c>
      <c r="D113" s="83">
        <v>253.57781982421881</v>
      </c>
      <c r="E113" s="6" t="s">
        <v>120</v>
      </c>
    </row>
    <row r="114" spans="1:5" hidden="1" x14ac:dyDescent="0.3">
      <c r="A114" s="1" t="s">
        <v>18</v>
      </c>
      <c r="B114" t="s">
        <v>139</v>
      </c>
      <c r="C114" s="1">
        <v>2060</v>
      </c>
      <c r="D114" s="83">
        <v>274.25875854492188</v>
      </c>
      <c r="E114" s="6" t="s">
        <v>120</v>
      </c>
    </row>
    <row r="115" spans="1:5" hidden="1" x14ac:dyDescent="0.3">
      <c r="A115" s="1" t="s">
        <v>18</v>
      </c>
      <c r="B115" t="s">
        <v>139</v>
      </c>
      <c r="C115" s="1">
        <v>2070</v>
      </c>
      <c r="D115" s="83">
        <v>320.80609130859381</v>
      </c>
      <c r="E115" s="6" t="s">
        <v>120</v>
      </c>
    </row>
    <row r="116" spans="1:5" hidden="1" x14ac:dyDescent="0.3">
      <c r="A116" s="16" t="s">
        <v>18</v>
      </c>
      <c r="B116" s="15" t="s">
        <v>139</v>
      </c>
      <c r="C116" s="1">
        <v>2080</v>
      </c>
      <c r="D116" s="78">
        <v>375.25344848632813</v>
      </c>
      <c r="E116" s="6" t="s">
        <v>120</v>
      </c>
    </row>
    <row r="117" spans="1:5" hidden="1" x14ac:dyDescent="0.3">
      <c r="A117" s="14" t="s">
        <v>18</v>
      </c>
      <c r="B117" s="13" t="s">
        <v>139</v>
      </c>
      <c r="C117" s="1">
        <v>2090</v>
      </c>
      <c r="D117" s="79">
        <v>438.94161987304688</v>
      </c>
      <c r="E117" s="6" t="s">
        <v>120</v>
      </c>
    </row>
    <row r="118" spans="1:5" hidden="1" x14ac:dyDescent="0.3">
      <c r="A118" s="1" t="s">
        <v>18</v>
      </c>
      <c r="B118" t="s">
        <v>139</v>
      </c>
      <c r="C118" s="1">
        <v>2100</v>
      </c>
      <c r="D118" s="83">
        <v>513.43902587890625</v>
      </c>
      <c r="E118" s="6" t="s">
        <v>120</v>
      </c>
    </row>
    <row r="119" spans="1:5" hidden="1" x14ac:dyDescent="0.3">
      <c r="A119" s="1" t="s">
        <v>18</v>
      </c>
      <c r="B119" t="s">
        <v>139</v>
      </c>
      <c r="C119" s="1">
        <v>2110</v>
      </c>
      <c r="D119" s="83">
        <v>600.580078125</v>
      </c>
      <c r="E119" s="6" t="s">
        <v>120</v>
      </c>
    </row>
    <row r="120" spans="1:5" hidden="1" x14ac:dyDescent="0.3">
      <c r="A120" s="1" t="s">
        <v>142</v>
      </c>
      <c r="B120" t="s">
        <v>139</v>
      </c>
      <c r="C120" s="1">
        <v>2015</v>
      </c>
      <c r="D120" s="82">
        <f t="shared" ref="D120:D134" si="2">(14/142)*1000*32</f>
        <v>3154.9295774647885</v>
      </c>
      <c r="E120" s="6" t="s">
        <v>120</v>
      </c>
    </row>
    <row r="121" spans="1:5" hidden="1" x14ac:dyDescent="0.3">
      <c r="A121" s="1" t="s">
        <v>142</v>
      </c>
      <c r="B121" t="s">
        <v>139</v>
      </c>
      <c r="C121" s="1">
        <v>2020</v>
      </c>
      <c r="D121" s="82">
        <f t="shared" si="2"/>
        <v>3154.9295774647885</v>
      </c>
      <c r="E121" s="6" t="s">
        <v>120</v>
      </c>
    </row>
    <row r="122" spans="1:5" hidden="1" x14ac:dyDescent="0.3">
      <c r="A122" s="1" t="s">
        <v>142</v>
      </c>
      <c r="B122" t="s">
        <v>139</v>
      </c>
      <c r="C122" s="1">
        <v>2025</v>
      </c>
      <c r="D122" s="82">
        <f t="shared" si="2"/>
        <v>3154.9295774647885</v>
      </c>
      <c r="E122" s="6" t="s">
        <v>120</v>
      </c>
    </row>
    <row r="123" spans="1:5" hidden="1" x14ac:dyDescent="0.3">
      <c r="A123" s="1" t="s">
        <v>142</v>
      </c>
      <c r="B123" t="s">
        <v>139</v>
      </c>
      <c r="C123" s="1">
        <v>2030</v>
      </c>
      <c r="D123" s="82">
        <f t="shared" si="2"/>
        <v>3154.9295774647885</v>
      </c>
      <c r="E123" s="6" t="s">
        <v>120</v>
      </c>
    </row>
    <row r="124" spans="1:5" hidden="1" x14ac:dyDescent="0.3">
      <c r="A124" s="1" t="s">
        <v>142</v>
      </c>
      <c r="B124" t="s">
        <v>139</v>
      </c>
      <c r="C124" s="1">
        <v>2035</v>
      </c>
      <c r="D124" s="82">
        <f t="shared" si="2"/>
        <v>3154.9295774647885</v>
      </c>
      <c r="E124" s="6" t="s">
        <v>120</v>
      </c>
    </row>
    <row r="125" spans="1:5" hidden="1" x14ac:dyDescent="0.3">
      <c r="A125" s="1" t="s">
        <v>142</v>
      </c>
      <c r="B125" t="s">
        <v>139</v>
      </c>
      <c r="C125" s="1">
        <v>2040</v>
      </c>
      <c r="D125" s="82">
        <f t="shared" si="2"/>
        <v>3154.9295774647885</v>
      </c>
      <c r="E125" s="6" t="s">
        <v>120</v>
      </c>
    </row>
    <row r="126" spans="1:5" hidden="1" x14ac:dyDescent="0.3">
      <c r="A126" s="1" t="s">
        <v>142</v>
      </c>
      <c r="B126" t="s">
        <v>139</v>
      </c>
      <c r="C126" s="1">
        <v>2045</v>
      </c>
      <c r="D126" s="82">
        <f t="shared" si="2"/>
        <v>3154.9295774647885</v>
      </c>
      <c r="E126" s="6" t="s">
        <v>120</v>
      </c>
    </row>
    <row r="127" spans="1:5" hidden="1" x14ac:dyDescent="0.3">
      <c r="A127" s="16" t="s">
        <v>142</v>
      </c>
      <c r="B127" s="15" t="s">
        <v>139</v>
      </c>
      <c r="C127" s="1">
        <v>2050</v>
      </c>
      <c r="D127" s="18">
        <f t="shared" si="2"/>
        <v>3154.9295774647885</v>
      </c>
      <c r="E127" s="6" t="s">
        <v>120</v>
      </c>
    </row>
    <row r="128" spans="1:5" hidden="1" x14ac:dyDescent="0.3">
      <c r="A128" s="14" t="s">
        <v>142</v>
      </c>
      <c r="B128" s="13" t="s">
        <v>139</v>
      </c>
      <c r="C128" s="1">
        <v>2055</v>
      </c>
      <c r="D128" s="77">
        <f t="shared" si="2"/>
        <v>3154.9295774647885</v>
      </c>
      <c r="E128" s="6" t="s">
        <v>120</v>
      </c>
    </row>
    <row r="129" spans="1:5" hidden="1" x14ac:dyDescent="0.3">
      <c r="A129" s="1" t="s">
        <v>142</v>
      </c>
      <c r="B129" t="s">
        <v>139</v>
      </c>
      <c r="C129" s="1">
        <v>2060</v>
      </c>
      <c r="D129" s="82">
        <f t="shared" si="2"/>
        <v>3154.9295774647885</v>
      </c>
      <c r="E129" s="6" t="s">
        <v>120</v>
      </c>
    </row>
    <row r="130" spans="1:5" hidden="1" x14ac:dyDescent="0.3">
      <c r="A130" s="1" t="s">
        <v>142</v>
      </c>
      <c r="B130" t="s">
        <v>139</v>
      </c>
      <c r="C130" s="1">
        <v>2070</v>
      </c>
      <c r="D130" s="82">
        <f t="shared" si="2"/>
        <v>3154.9295774647885</v>
      </c>
      <c r="E130" s="6" t="s">
        <v>120</v>
      </c>
    </row>
    <row r="131" spans="1:5" hidden="1" x14ac:dyDescent="0.3">
      <c r="A131" s="1" t="s">
        <v>142</v>
      </c>
      <c r="B131" t="s">
        <v>139</v>
      </c>
      <c r="C131" s="1">
        <v>2080</v>
      </c>
      <c r="D131" s="82">
        <f t="shared" si="2"/>
        <v>3154.9295774647885</v>
      </c>
      <c r="E131" s="6" t="s">
        <v>120</v>
      </c>
    </row>
    <row r="132" spans="1:5" hidden="1" x14ac:dyDescent="0.3">
      <c r="A132" s="1" t="s">
        <v>142</v>
      </c>
      <c r="B132" t="s">
        <v>139</v>
      </c>
      <c r="C132" s="1">
        <v>2090</v>
      </c>
      <c r="D132" s="82">
        <f t="shared" si="2"/>
        <v>3154.9295774647885</v>
      </c>
      <c r="E132" s="6" t="s">
        <v>120</v>
      </c>
    </row>
    <row r="133" spans="1:5" hidden="1" x14ac:dyDescent="0.3">
      <c r="A133" s="1" t="s">
        <v>142</v>
      </c>
      <c r="B133" t="s">
        <v>139</v>
      </c>
      <c r="C133" s="1">
        <v>2100</v>
      </c>
      <c r="D133" s="82">
        <f t="shared" si="2"/>
        <v>3154.9295774647885</v>
      </c>
      <c r="E133" s="6" t="s">
        <v>120</v>
      </c>
    </row>
    <row r="134" spans="1:5" hidden="1" x14ac:dyDescent="0.3">
      <c r="A134" s="1" t="s">
        <v>142</v>
      </c>
      <c r="B134" t="s">
        <v>139</v>
      </c>
      <c r="C134" s="1">
        <v>2110</v>
      </c>
      <c r="D134" s="82">
        <f t="shared" si="2"/>
        <v>3154.9295774647885</v>
      </c>
      <c r="E134" s="6" t="s">
        <v>120</v>
      </c>
    </row>
    <row r="135" spans="1:5" x14ac:dyDescent="0.3">
      <c r="A135" s="1" t="s">
        <v>106</v>
      </c>
      <c r="B135" t="s">
        <v>139</v>
      </c>
      <c r="C135" s="1">
        <v>2015</v>
      </c>
      <c r="D135">
        <v>0</v>
      </c>
      <c r="E135" s="6" t="s">
        <v>126</v>
      </c>
    </row>
    <row r="136" spans="1:5" x14ac:dyDescent="0.3">
      <c r="A136" s="1" t="s">
        <v>106</v>
      </c>
      <c r="B136" t="s">
        <v>139</v>
      </c>
      <c r="C136" s="1">
        <v>2020</v>
      </c>
      <c r="D136">
        <v>0</v>
      </c>
      <c r="E136" s="6" t="s">
        <v>126</v>
      </c>
    </row>
    <row r="137" spans="1:5" x14ac:dyDescent="0.3">
      <c r="A137" s="1" t="s">
        <v>106</v>
      </c>
      <c r="B137" t="s">
        <v>139</v>
      </c>
      <c r="C137" s="1">
        <v>2025</v>
      </c>
      <c r="D137">
        <v>0</v>
      </c>
      <c r="E137" s="6" t="s">
        <v>126</v>
      </c>
    </row>
    <row r="138" spans="1:5" x14ac:dyDescent="0.3">
      <c r="A138" s="16" t="s">
        <v>106</v>
      </c>
      <c r="B138" s="15" t="s">
        <v>139</v>
      </c>
      <c r="C138" s="1">
        <v>2030</v>
      </c>
      <c r="D138" s="15">
        <v>0</v>
      </c>
      <c r="E138" s="6" t="s">
        <v>126</v>
      </c>
    </row>
    <row r="139" spans="1:5" x14ac:dyDescent="0.3">
      <c r="A139" s="14" t="s">
        <v>106</v>
      </c>
      <c r="B139" s="13" t="s">
        <v>139</v>
      </c>
      <c r="C139" s="1">
        <v>2035</v>
      </c>
      <c r="D139" s="13">
        <v>0</v>
      </c>
      <c r="E139" s="6" t="s">
        <v>126</v>
      </c>
    </row>
    <row r="140" spans="1:5" x14ac:dyDescent="0.3">
      <c r="A140" s="1" t="s">
        <v>106</v>
      </c>
      <c r="B140" t="s">
        <v>139</v>
      </c>
      <c r="C140" s="1">
        <v>2040</v>
      </c>
      <c r="D140">
        <v>0</v>
      </c>
      <c r="E140" s="6" t="s">
        <v>126</v>
      </c>
    </row>
    <row r="141" spans="1:5" x14ac:dyDescent="0.3">
      <c r="A141" s="1" t="s">
        <v>106</v>
      </c>
      <c r="B141" t="s">
        <v>139</v>
      </c>
      <c r="C141" s="1">
        <v>2045</v>
      </c>
      <c r="D141">
        <v>0</v>
      </c>
      <c r="E141" s="6" t="s">
        <v>126</v>
      </c>
    </row>
    <row r="142" spans="1:5" x14ac:dyDescent="0.3">
      <c r="A142" s="1" t="s">
        <v>106</v>
      </c>
      <c r="B142" t="s">
        <v>139</v>
      </c>
      <c r="C142" s="1">
        <v>2050</v>
      </c>
      <c r="D142">
        <v>0</v>
      </c>
      <c r="E142" s="6" t="s">
        <v>126</v>
      </c>
    </row>
    <row r="143" spans="1:5" x14ac:dyDescent="0.3">
      <c r="A143" s="1" t="s">
        <v>106</v>
      </c>
      <c r="B143" t="s">
        <v>139</v>
      </c>
      <c r="C143" s="1">
        <v>2055</v>
      </c>
      <c r="D143">
        <v>0</v>
      </c>
      <c r="E143" s="6" t="s">
        <v>126</v>
      </c>
    </row>
    <row r="144" spans="1:5" x14ac:dyDescent="0.3">
      <c r="A144" s="1" t="s">
        <v>106</v>
      </c>
      <c r="B144" t="s">
        <v>139</v>
      </c>
      <c r="C144" s="1">
        <v>2060</v>
      </c>
      <c r="D144">
        <v>0</v>
      </c>
      <c r="E144" s="6" t="s">
        <v>126</v>
      </c>
    </row>
    <row r="145" spans="1:5" x14ac:dyDescent="0.3">
      <c r="A145" s="1" t="s">
        <v>106</v>
      </c>
      <c r="B145" t="s">
        <v>139</v>
      </c>
      <c r="C145" s="1">
        <v>2070</v>
      </c>
      <c r="D145">
        <v>0</v>
      </c>
      <c r="E145" s="6" t="s">
        <v>126</v>
      </c>
    </row>
    <row r="146" spans="1:5" x14ac:dyDescent="0.3">
      <c r="A146" s="1" t="s">
        <v>106</v>
      </c>
      <c r="B146" t="s">
        <v>139</v>
      </c>
      <c r="C146" s="1">
        <v>2080</v>
      </c>
      <c r="D146">
        <v>0</v>
      </c>
      <c r="E146" s="6" t="s">
        <v>126</v>
      </c>
    </row>
    <row r="147" spans="1:5" x14ac:dyDescent="0.3">
      <c r="A147" s="1" t="s">
        <v>106</v>
      </c>
      <c r="B147" t="s">
        <v>139</v>
      </c>
      <c r="C147" s="1">
        <v>2090</v>
      </c>
      <c r="D147">
        <v>0</v>
      </c>
      <c r="E147" s="6" t="s">
        <v>126</v>
      </c>
    </row>
    <row r="148" spans="1:5" x14ac:dyDescent="0.3">
      <c r="A148" s="1" t="s">
        <v>106</v>
      </c>
      <c r="B148" t="s">
        <v>139</v>
      </c>
      <c r="C148" s="1">
        <v>2100</v>
      </c>
      <c r="D148">
        <v>0</v>
      </c>
      <c r="E148" s="6" t="s">
        <v>126</v>
      </c>
    </row>
    <row r="149" spans="1:5" x14ac:dyDescent="0.3">
      <c r="A149" s="16" t="s">
        <v>106</v>
      </c>
      <c r="B149" s="15" t="s">
        <v>139</v>
      </c>
      <c r="C149" s="1">
        <v>2110</v>
      </c>
      <c r="D149" s="15">
        <v>0</v>
      </c>
      <c r="E149" s="6" t="s">
        <v>126</v>
      </c>
    </row>
    <row r="150" spans="1:5" hidden="1" x14ac:dyDescent="0.3">
      <c r="A150" s="1" t="s">
        <v>23</v>
      </c>
      <c r="B150" t="s">
        <v>139</v>
      </c>
      <c r="C150" s="1">
        <v>2015</v>
      </c>
      <c r="D150">
        <v>0</v>
      </c>
      <c r="E150" s="6" t="s">
        <v>126</v>
      </c>
    </row>
    <row r="151" spans="1:5" hidden="1" x14ac:dyDescent="0.3">
      <c r="A151" s="1" t="s">
        <v>23</v>
      </c>
      <c r="B151" t="s">
        <v>139</v>
      </c>
      <c r="C151" s="1">
        <v>2020</v>
      </c>
      <c r="D151">
        <v>0</v>
      </c>
      <c r="E151" s="6" t="s">
        <v>126</v>
      </c>
    </row>
    <row r="152" spans="1:5" hidden="1" x14ac:dyDescent="0.3">
      <c r="A152" s="1" t="s">
        <v>23</v>
      </c>
      <c r="B152" t="s">
        <v>139</v>
      </c>
      <c r="C152" s="1">
        <v>2025</v>
      </c>
      <c r="D152">
        <v>0</v>
      </c>
      <c r="E152" s="6" t="s">
        <v>126</v>
      </c>
    </row>
    <row r="153" spans="1:5" hidden="1" x14ac:dyDescent="0.3">
      <c r="A153" s="1" t="s">
        <v>23</v>
      </c>
      <c r="B153" t="s">
        <v>139</v>
      </c>
      <c r="C153" s="1">
        <v>2030</v>
      </c>
      <c r="D153">
        <v>0</v>
      </c>
      <c r="E153" s="6" t="s">
        <v>126</v>
      </c>
    </row>
    <row r="154" spans="1:5" hidden="1" x14ac:dyDescent="0.3">
      <c r="A154" s="1" t="s">
        <v>23</v>
      </c>
      <c r="B154" t="s">
        <v>139</v>
      </c>
      <c r="C154" s="1">
        <v>2035</v>
      </c>
      <c r="D154">
        <v>0</v>
      </c>
      <c r="E154" s="6" t="s">
        <v>126</v>
      </c>
    </row>
    <row r="155" spans="1:5" hidden="1" x14ac:dyDescent="0.3">
      <c r="A155" s="1" t="s">
        <v>23</v>
      </c>
      <c r="B155" t="s">
        <v>139</v>
      </c>
      <c r="C155" s="1">
        <v>2040</v>
      </c>
      <c r="D155">
        <v>0</v>
      </c>
      <c r="E155" s="6" t="s">
        <v>126</v>
      </c>
    </row>
    <row r="156" spans="1:5" hidden="1" x14ac:dyDescent="0.3">
      <c r="A156" s="1" t="s">
        <v>23</v>
      </c>
      <c r="B156" t="s">
        <v>139</v>
      </c>
      <c r="C156" s="1">
        <v>2045</v>
      </c>
      <c r="D156">
        <v>0</v>
      </c>
      <c r="E156" s="6" t="s">
        <v>126</v>
      </c>
    </row>
    <row r="157" spans="1:5" hidden="1" x14ac:dyDescent="0.3">
      <c r="A157" s="1" t="s">
        <v>23</v>
      </c>
      <c r="B157" t="s">
        <v>139</v>
      </c>
      <c r="C157" s="1">
        <v>2050</v>
      </c>
      <c r="D157">
        <v>0</v>
      </c>
      <c r="E157" s="6" t="s">
        <v>126</v>
      </c>
    </row>
    <row r="158" spans="1:5" hidden="1" x14ac:dyDescent="0.3">
      <c r="A158" s="1" t="s">
        <v>23</v>
      </c>
      <c r="B158" t="s">
        <v>139</v>
      </c>
      <c r="C158" s="1">
        <v>2055</v>
      </c>
      <c r="D158">
        <v>0</v>
      </c>
      <c r="E158" s="6" t="s">
        <v>126</v>
      </c>
    </row>
    <row r="159" spans="1:5" hidden="1" x14ac:dyDescent="0.3">
      <c r="A159" s="1" t="s">
        <v>23</v>
      </c>
      <c r="B159" t="s">
        <v>139</v>
      </c>
      <c r="C159" s="1">
        <v>2060</v>
      </c>
      <c r="D159">
        <v>0</v>
      </c>
      <c r="E159" s="6" t="s">
        <v>126</v>
      </c>
    </row>
    <row r="160" spans="1:5" hidden="1" x14ac:dyDescent="0.3">
      <c r="A160" s="1" t="s">
        <v>23</v>
      </c>
      <c r="B160" t="s">
        <v>139</v>
      </c>
      <c r="C160" s="1">
        <v>2070</v>
      </c>
      <c r="D160">
        <v>0</v>
      </c>
      <c r="E160" s="6" t="s">
        <v>126</v>
      </c>
    </row>
    <row r="161" spans="1:5" hidden="1" x14ac:dyDescent="0.3">
      <c r="A161" s="1" t="s">
        <v>23</v>
      </c>
      <c r="B161" t="s">
        <v>139</v>
      </c>
      <c r="C161" s="1">
        <v>2080</v>
      </c>
      <c r="D161">
        <v>0</v>
      </c>
      <c r="E161" s="6" t="s">
        <v>126</v>
      </c>
    </row>
    <row r="162" spans="1:5" hidden="1" x14ac:dyDescent="0.3">
      <c r="A162" s="1" t="s">
        <v>23</v>
      </c>
      <c r="B162" t="s">
        <v>139</v>
      </c>
      <c r="C162" s="1">
        <v>2090</v>
      </c>
      <c r="D162">
        <v>0</v>
      </c>
      <c r="E162" s="6" t="s">
        <v>126</v>
      </c>
    </row>
    <row r="163" spans="1:5" hidden="1" x14ac:dyDescent="0.3">
      <c r="A163" s="1" t="s">
        <v>23</v>
      </c>
      <c r="B163" t="s">
        <v>139</v>
      </c>
      <c r="C163" s="1">
        <v>2100</v>
      </c>
      <c r="D163">
        <v>0</v>
      </c>
      <c r="E163" s="6" t="s">
        <v>126</v>
      </c>
    </row>
    <row r="164" spans="1:5" hidden="1" x14ac:dyDescent="0.3">
      <c r="A164" s="1" t="s">
        <v>23</v>
      </c>
      <c r="B164" t="s">
        <v>139</v>
      </c>
      <c r="C164" s="1">
        <v>2110</v>
      </c>
      <c r="D164">
        <v>0</v>
      </c>
      <c r="E164" s="6" t="s">
        <v>126</v>
      </c>
    </row>
    <row r="165" spans="1:5" hidden="1" x14ac:dyDescent="0.3">
      <c r="A165" s="1" t="s">
        <v>16</v>
      </c>
      <c r="B165" t="s">
        <v>139</v>
      </c>
      <c r="C165" s="1">
        <v>2015</v>
      </c>
      <c r="D165" s="80">
        <v>333.708984375</v>
      </c>
      <c r="E165" s="6" t="s">
        <v>120</v>
      </c>
    </row>
    <row r="166" spans="1:5" hidden="1" x14ac:dyDescent="0.3">
      <c r="A166" s="1" t="s">
        <v>16</v>
      </c>
      <c r="B166" t="s">
        <v>139</v>
      </c>
      <c r="C166" s="1">
        <v>2020</v>
      </c>
      <c r="D166" s="80">
        <v>359.80410766601563</v>
      </c>
      <c r="E166" s="6" t="s">
        <v>120</v>
      </c>
    </row>
    <row r="167" spans="1:5" hidden="1" x14ac:dyDescent="0.3">
      <c r="A167" s="1" t="s">
        <v>16</v>
      </c>
      <c r="B167" t="s">
        <v>139</v>
      </c>
      <c r="C167" s="1">
        <v>2025</v>
      </c>
      <c r="D167" s="80">
        <v>355.07342529296881</v>
      </c>
      <c r="E167" s="6" t="s">
        <v>120</v>
      </c>
    </row>
    <row r="168" spans="1:5" hidden="1" x14ac:dyDescent="0.3">
      <c r="A168" s="1" t="s">
        <v>16</v>
      </c>
      <c r="B168" t="s">
        <v>139</v>
      </c>
      <c r="C168" s="1">
        <v>2030</v>
      </c>
      <c r="D168" s="80">
        <v>358.07675170898438</v>
      </c>
      <c r="E168" s="6" t="s">
        <v>120</v>
      </c>
    </row>
    <row r="169" spans="1:5" hidden="1" x14ac:dyDescent="0.3">
      <c r="A169" s="1" t="s">
        <v>16</v>
      </c>
      <c r="B169" t="s">
        <v>139</v>
      </c>
      <c r="C169" s="1">
        <v>2035</v>
      </c>
      <c r="D169" s="80">
        <v>371.29461669921881</v>
      </c>
      <c r="E169" s="6" t="s">
        <v>120</v>
      </c>
    </row>
    <row r="170" spans="1:5" hidden="1" x14ac:dyDescent="0.3">
      <c r="A170" s="1" t="s">
        <v>16</v>
      </c>
      <c r="B170" t="s">
        <v>139</v>
      </c>
      <c r="C170" s="1">
        <v>2040</v>
      </c>
      <c r="D170" s="80">
        <v>385.0003662109375</v>
      </c>
      <c r="E170" s="6" t="s">
        <v>120</v>
      </c>
    </row>
    <row r="171" spans="1:5" hidden="1" x14ac:dyDescent="0.3">
      <c r="A171" s="1" t="s">
        <v>16</v>
      </c>
      <c r="B171" t="s">
        <v>139</v>
      </c>
      <c r="C171" s="1">
        <v>2045</v>
      </c>
      <c r="D171" s="80">
        <v>391.77749633789063</v>
      </c>
      <c r="E171" s="6" t="s">
        <v>120</v>
      </c>
    </row>
    <row r="172" spans="1:5" hidden="1" x14ac:dyDescent="0.3">
      <c r="A172" s="1" t="s">
        <v>16</v>
      </c>
      <c r="B172" t="s">
        <v>139</v>
      </c>
      <c r="C172" s="1">
        <v>2050</v>
      </c>
      <c r="D172" s="80">
        <v>391.71682739257813</v>
      </c>
      <c r="E172" s="6" t="s">
        <v>120</v>
      </c>
    </row>
    <row r="173" spans="1:5" hidden="1" x14ac:dyDescent="0.3">
      <c r="A173" s="1" t="s">
        <v>16</v>
      </c>
      <c r="B173" t="s">
        <v>139</v>
      </c>
      <c r="C173" s="1">
        <v>2055</v>
      </c>
      <c r="D173" s="80">
        <v>391.65618896484381</v>
      </c>
      <c r="E173" s="6" t="s">
        <v>120</v>
      </c>
    </row>
    <row r="174" spans="1:5" hidden="1" x14ac:dyDescent="0.3">
      <c r="A174" s="1" t="s">
        <v>16</v>
      </c>
      <c r="B174" t="s">
        <v>139</v>
      </c>
      <c r="C174" s="1">
        <v>2060</v>
      </c>
      <c r="D174" s="80">
        <v>391.59552001953119</v>
      </c>
      <c r="E174" s="6" t="s">
        <v>120</v>
      </c>
    </row>
    <row r="175" spans="1:5" hidden="1" x14ac:dyDescent="0.3">
      <c r="A175" s="1" t="s">
        <v>16</v>
      </c>
      <c r="B175" t="s">
        <v>139</v>
      </c>
      <c r="C175" s="1">
        <v>2070</v>
      </c>
      <c r="D175" s="80">
        <v>391.53488159179688</v>
      </c>
      <c r="E175" s="6" t="s">
        <v>120</v>
      </c>
    </row>
    <row r="176" spans="1:5" hidden="1" x14ac:dyDescent="0.3">
      <c r="A176" s="1" t="s">
        <v>16</v>
      </c>
      <c r="B176" t="s">
        <v>139</v>
      </c>
      <c r="C176" s="1">
        <v>2080</v>
      </c>
      <c r="D176" s="80">
        <v>391.53488159179688</v>
      </c>
      <c r="E176" s="6" t="s">
        <v>120</v>
      </c>
    </row>
    <row r="177" spans="1:5" hidden="1" x14ac:dyDescent="0.3">
      <c r="A177" s="1" t="s">
        <v>16</v>
      </c>
      <c r="B177" t="s">
        <v>139</v>
      </c>
      <c r="C177" s="1">
        <v>2090</v>
      </c>
      <c r="D177" s="80">
        <v>391.53488159179688</v>
      </c>
      <c r="E177" s="6" t="s">
        <v>120</v>
      </c>
    </row>
    <row r="178" spans="1:5" hidden="1" x14ac:dyDescent="0.3">
      <c r="A178" s="1" t="s">
        <v>16</v>
      </c>
      <c r="B178" t="s">
        <v>139</v>
      </c>
      <c r="C178" s="1">
        <v>2100</v>
      </c>
      <c r="D178" s="80">
        <v>391.53488159179688</v>
      </c>
      <c r="E178" s="6" t="s">
        <v>120</v>
      </c>
    </row>
    <row r="179" spans="1:5" hidden="1" x14ac:dyDescent="0.3">
      <c r="A179" s="1" t="s">
        <v>16</v>
      </c>
      <c r="B179" t="s">
        <v>139</v>
      </c>
      <c r="C179" s="1">
        <v>2110</v>
      </c>
      <c r="D179" s="80">
        <v>391.53488159179688</v>
      </c>
      <c r="E179" s="6" t="s">
        <v>120</v>
      </c>
    </row>
    <row r="180" spans="1:5" hidden="1" x14ac:dyDescent="0.3">
      <c r="A180" s="1" t="s">
        <v>104</v>
      </c>
      <c r="B180" t="s">
        <v>139</v>
      </c>
      <c r="C180" s="1">
        <v>2025</v>
      </c>
      <c r="D180">
        <v>0</v>
      </c>
      <c r="E180" s="6" t="s">
        <v>126</v>
      </c>
    </row>
    <row r="181" spans="1:5" hidden="1" x14ac:dyDescent="0.3">
      <c r="A181" s="1" t="s">
        <v>104</v>
      </c>
      <c r="B181" t="s">
        <v>139</v>
      </c>
      <c r="C181" s="1">
        <v>2030</v>
      </c>
      <c r="D181">
        <v>0</v>
      </c>
      <c r="E181" s="6" t="s">
        <v>126</v>
      </c>
    </row>
    <row r="182" spans="1:5" hidden="1" x14ac:dyDescent="0.3">
      <c r="A182" s="1" t="s">
        <v>104</v>
      </c>
      <c r="B182" t="s">
        <v>139</v>
      </c>
      <c r="C182" s="1">
        <v>2035</v>
      </c>
      <c r="D182">
        <v>0</v>
      </c>
      <c r="E182" s="6" t="s">
        <v>126</v>
      </c>
    </row>
    <row r="183" spans="1:5" hidden="1" x14ac:dyDescent="0.3">
      <c r="A183" s="1" t="s">
        <v>104</v>
      </c>
      <c r="B183" t="s">
        <v>139</v>
      </c>
      <c r="C183" s="1">
        <v>2040</v>
      </c>
      <c r="D183">
        <v>0</v>
      </c>
      <c r="E183" s="6" t="s">
        <v>126</v>
      </c>
    </row>
    <row r="184" spans="1:5" hidden="1" x14ac:dyDescent="0.3">
      <c r="A184" s="1" t="s">
        <v>104</v>
      </c>
      <c r="B184" t="s">
        <v>139</v>
      </c>
      <c r="C184" s="1">
        <v>2045</v>
      </c>
      <c r="D184">
        <v>0</v>
      </c>
      <c r="E184" s="6" t="s">
        <v>126</v>
      </c>
    </row>
    <row r="185" spans="1:5" hidden="1" x14ac:dyDescent="0.3">
      <c r="A185" s="1" t="s">
        <v>104</v>
      </c>
      <c r="B185" t="s">
        <v>139</v>
      </c>
      <c r="C185" s="1">
        <v>2050</v>
      </c>
      <c r="D185">
        <v>0</v>
      </c>
      <c r="E185" s="6" t="s">
        <v>126</v>
      </c>
    </row>
    <row r="186" spans="1:5" hidden="1" x14ac:dyDescent="0.3">
      <c r="A186" s="1" t="s">
        <v>104</v>
      </c>
      <c r="B186" t="s">
        <v>139</v>
      </c>
      <c r="C186" s="1">
        <v>2055</v>
      </c>
      <c r="D186">
        <v>0</v>
      </c>
      <c r="E186" s="6" t="s">
        <v>126</v>
      </c>
    </row>
    <row r="187" spans="1:5" hidden="1" x14ac:dyDescent="0.3">
      <c r="A187" s="1" t="s">
        <v>104</v>
      </c>
      <c r="B187" t="s">
        <v>139</v>
      </c>
      <c r="C187" s="1">
        <v>2060</v>
      </c>
      <c r="D187">
        <v>0</v>
      </c>
      <c r="E187" s="6" t="s">
        <v>126</v>
      </c>
    </row>
    <row r="188" spans="1:5" hidden="1" x14ac:dyDescent="0.3">
      <c r="A188" s="1" t="s">
        <v>104</v>
      </c>
      <c r="B188" t="s">
        <v>139</v>
      </c>
      <c r="C188" s="1">
        <v>2070</v>
      </c>
      <c r="D188">
        <v>0</v>
      </c>
      <c r="E188" s="6" t="s">
        <v>126</v>
      </c>
    </row>
    <row r="189" spans="1:5" hidden="1" x14ac:dyDescent="0.3">
      <c r="A189" s="1" t="s">
        <v>104</v>
      </c>
      <c r="B189" t="s">
        <v>139</v>
      </c>
      <c r="C189" s="1">
        <v>2080</v>
      </c>
      <c r="D189">
        <v>0</v>
      </c>
      <c r="E189" s="6" t="s">
        <v>126</v>
      </c>
    </row>
    <row r="190" spans="1:5" hidden="1" x14ac:dyDescent="0.3">
      <c r="A190" s="1" t="s">
        <v>104</v>
      </c>
      <c r="B190" t="s">
        <v>139</v>
      </c>
      <c r="C190" s="1">
        <v>2090</v>
      </c>
      <c r="D190">
        <v>0</v>
      </c>
      <c r="E190" s="6" t="s">
        <v>126</v>
      </c>
    </row>
    <row r="191" spans="1:5" hidden="1" x14ac:dyDescent="0.3">
      <c r="A191" s="1" t="s">
        <v>104</v>
      </c>
      <c r="B191" t="s">
        <v>139</v>
      </c>
      <c r="C191" s="1">
        <v>2100</v>
      </c>
      <c r="D191">
        <v>0</v>
      </c>
      <c r="E191" s="6" t="s">
        <v>126</v>
      </c>
    </row>
    <row r="192" spans="1:5" hidden="1" x14ac:dyDescent="0.3">
      <c r="A192" s="1" t="s">
        <v>104</v>
      </c>
      <c r="B192" t="s">
        <v>139</v>
      </c>
      <c r="C192" s="1">
        <v>2110</v>
      </c>
      <c r="D192">
        <v>0</v>
      </c>
      <c r="E192" s="6" t="s">
        <v>126</v>
      </c>
    </row>
    <row r="193" spans="1:5" hidden="1" x14ac:dyDescent="0.3">
      <c r="A193" s="1" t="s">
        <v>141</v>
      </c>
      <c r="B193" t="s">
        <v>139</v>
      </c>
      <c r="C193" s="1">
        <v>2015</v>
      </c>
      <c r="D193" s="82">
        <f t="shared" ref="D193:D207" si="3">(500/1000/19.7)*1000*32</f>
        <v>812.18274111675123</v>
      </c>
      <c r="E193" s="6" t="s">
        <v>120</v>
      </c>
    </row>
    <row r="194" spans="1:5" hidden="1" x14ac:dyDescent="0.3">
      <c r="A194" s="1" t="s">
        <v>141</v>
      </c>
      <c r="B194" t="s">
        <v>139</v>
      </c>
      <c r="C194" s="1">
        <v>2020</v>
      </c>
      <c r="D194" s="82">
        <f t="shared" si="3"/>
        <v>812.18274111675123</v>
      </c>
      <c r="E194" s="6" t="s">
        <v>120</v>
      </c>
    </row>
    <row r="195" spans="1:5" hidden="1" x14ac:dyDescent="0.3">
      <c r="A195" s="1" t="s">
        <v>141</v>
      </c>
      <c r="B195" t="s">
        <v>139</v>
      </c>
      <c r="C195" s="1">
        <v>2025</v>
      </c>
      <c r="D195" s="82">
        <f t="shared" si="3"/>
        <v>812.18274111675123</v>
      </c>
      <c r="E195" s="6" t="s">
        <v>120</v>
      </c>
    </row>
    <row r="196" spans="1:5" hidden="1" x14ac:dyDescent="0.3">
      <c r="A196" s="1" t="s">
        <v>141</v>
      </c>
      <c r="B196" t="s">
        <v>139</v>
      </c>
      <c r="C196" s="1">
        <v>2030</v>
      </c>
      <c r="D196" s="82">
        <f t="shared" si="3"/>
        <v>812.18274111675123</v>
      </c>
      <c r="E196" s="6" t="s">
        <v>120</v>
      </c>
    </row>
    <row r="197" spans="1:5" hidden="1" x14ac:dyDescent="0.3">
      <c r="A197" s="1" t="s">
        <v>141</v>
      </c>
      <c r="B197" t="s">
        <v>139</v>
      </c>
      <c r="C197" s="1">
        <v>2035</v>
      </c>
      <c r="D197" s="82">
        <f t="shared" si="3"/>
        <v>812.18274111675123</v>
      </c>
      <c r="E197" s="6" t="s">
        <v>120</v>
      </c>
    </row>
    <row r="198" spans="1:5" hidden="1" x14ac:dyDescent="0.3">
      <c r="A198" s="1" t="s">
        <v>141</v>
      </c>
      <c r="B198" t="s">
        <v>139</v>
      </c>
      <c r="C198" s="1">
        <v>2040</v>
      </c>
      <c r="D198" s="82">
        <f t="shared" si="3"/>
        <v>812.18274111675123</v>
      </c>
      <c r="E198" s="6" t="s">
        <v>120</v>
      </c>
    </row>
    <row r="199" spans="1:5" hidden="1" x14ac:dyDescent="0.3">
      <c r="A199" s="1" t="s">
        <v>141</v>
      </c>
      <c r="B199" t="s">
        <v>139</v>
      </c>
      <c r="C199" s="1">
        <v>2045</v>
      </c>
      <c r="D199" s="82">
        <f t="shared" si="3"/>
        <v>812.18274111675123</v>
      </c>
      <c r="E199" s="6" t="s">
        <v>120</v>
      </c>
    </row>
    <row r="200" spans="1:5" hidden="1" x14ac:dyDescent="0.3">
      <c r="A200" s="1" t="s">
        <v>141</v>
      </c>
      <c r="B200" t="s">
        <v>139</v>
      </c>
      <c r="C200" s="1">
        <v>2050</v>
      </c>
      <c r="D200" s="82">
        <f t="shared" si="3"/>
        <v>812.18274111675123</v>
      </c>
      <c r="E200" s="6" t="s">
        <v>120</v>
      </c>
    </row>
    <row r="201" spans="1:5" hidden="1" x14ac:dyDescent="0.3">
      <c r="A201" s="1" t="s">
        <v>141</v>
      </c>
      <c r="B201" t="s">
        <v>139</v>
      </c>
      <c r="C201" s="1">
        <v>2055</v>
      </c>
      <c r="D201" s="82">
        <f t="shared" si="3"/>
        <v>812.18274111675123</v>
      </c>
      <c r="E201" s="6" t="s">
        <v>120</v>
      </c>
    </row>
    <row r="202" spans="1:5" hidden="1" x14ac:dyDescent="0.3">
      <c r="A202" s="1" t="s">
        <v>141</v>
      </c>
      <c r="B202" t="s">
        <v>139</v>
      </c>
      <c r="C202" s="1">
        <v>2060</v>
      </c>
      <c r="D202" s="82">
        <f t="shared" si="3"/>
        <v>812.18274111675123</v>
      </c>
      <c r="E202" s="6" t="s">
        <v>120</v>
      </c>
    </row>
    <row r="203" spans="1:5" hidden="1" x14ac:dyDescent="0.3">
      <c r="A203" s="1" t="s">
        <v>141</v>
      </c>
      <c r="B203" t="s">
        <v>139</v>
      </c>
      <c r="C203" s="1">
        <v>2070</v>
      </c>
      <c r="D203" s="82">
        <f t="shared" si="3"/>
        <v>812.18274111675123</v>
      </c>
      <c r="E203" s="6" t="s">
        <v>120</v>
      </c>
    </row>
    <row r="204" spans="1:5" hidden="1" x14ac:dyDescent="0.3">
      <c r="A204" s="1" t="s">
        <v>141</v>
      </c>
      <c r="B204" t="s">
        <v>139</v>
      </c>
      <c r="C204" s="1">
        <v>2080</v>
      </c>
      <c r="D204" s="82">
        <f t="shared" si="3"/>
        <v>812.18274111675123</v>
      </c>
      <c r="E204" s="6" t="s">
        <v>120</v>
      </c>
    </row>
    <row r="205" spans="1:5" hidden="1" x14ac:dyDescent="0.3">
      <c r="A205" s="1" t="s">
        <v>141</v>
      </c>
      <c r="B205" t="s">
        <v>139</v>
      </c>
      <c r="C205" s="1">
        <v>2090</v>
      </c>
      <c r="D205" s="82">
        <f t="shared" si="3"/>
        <v>812.18274111675123</v>
      </c>
      <c r="E205" s="6" t="s">
        <v>120</v>
      </c>
    </row>
    <row r="206" spans="1:5" hidden="1" x14ac:dyDescent="0.3">
      <c r="A206" s="1" t="s">
        <v>141</v>
      </c>
      <c r="B206" t="s">
        <v>139</v>
      </c>
      <c r="C206" s="1">
        <v>2100</v>
      </c>
      <c r="D206" s="82">
        <f t="shared" si="3"/>
        <v>812.18274111675123</v>
      </c>
      <c r="E206" s="6" t="s">
        <v>120</v>
      </c>
    </row>
    <row r="207" spans="1:5" hidden="1" x14ac:dyDescent="0.3">
      <c r="A207" s="1" t="s">
        <v>141</v>
      </c>
      <c r="B207" t="s">
        <v>139</v>
      </c>
      <c r="C207" s="1">
        <v>2110</v>
      </c>
      <c r="D207" s="82">
        <f t="shared" si="3"/>
        <v>812.18274111675123</v>
      </c>
      <c r="E207" s="6" t="s">
        <v>120</v>
      </c>
    </row>
    <row r="208" spans="1:5" hidden="1" x14ac:dyDescent="0.3">
      <c r="A208" s="1" t="s">
        <v>22</v>
      </c>
      <c r="B208" t="s">
        <v>139</v>
      </c>
      <c r="C208" s="1">
        <v>2015</v>
      </c>
      <c r="D208" s="82">
        <v>-256.6992095947266</v>
      </c>
      <c r="E208" s="6" t="s">
        <v>120</v>
      </c>
    </row>
    <row r="209" spans="1:5" hidden="1" x14ac:dyDescent="0.3">
      <c r="A209" s="1" t="s">
        <v>22</v>
      </c>
      <c r="B209" t="s">
        <v>139</v>
      </c>
      <c r="C209" s="1">
        <v>2020</v>
      </c>
      <c r="D209" s="82">
        <v>-276.77238464355469</v>
      </c>
      <c r="E209" s="6" t="s">
        <v>120</v>
      </c>
    </row>
    <row r="210" spans="1:5" hidden="1" x14ac:dyDescent="0.3">
      <c r="A210" s="1" t="s">
        <v>22</v>
      </c>
      <c r="B210" t="s">
        <v>139</v>
      </c>
      <c r="C210" s="1">
        <v>2025</v>
      </c>
      <c r="D210" s="82">
        <v>-273.13341064453124</v>
      </c>
      <c r="E210" s="6" t="s">
        <v>120</v>
      </c>
    </row>
    <row r="211" spans="1:5" hidden="1" x14ac:dyDescent="0.3">
      <c r="A211" s="1" t="s">
        <v>22</v>
      </c>
      <c r="B211" t="s">
        <v>139</v>
      </c>
      <c r="C211" s="1">
        <v>2030</v>
      </c>
      <c r="D211" s="82">
        <v>-275.44367065429691</v>
      </c>
      <c r="E211" s="6" t="s">
        <v>120</v>
      </c>
    </row>
    <row r="212" spans="1:5" hidden="1" x14ac:dyDescent="0.3">
      <c r="A212" s="1" t="s">
        <v>22</v>
      </c>
      <c r="B212" t="s">
        <v>139</v>
      </c>
      <c r="C212" s="1">
        <v>2035</v>
      </c>
      <c r="D212" s="82">
        <v>-285.61124267578128</v>
      </c>
      <c r="E212" s="6" t="s">
        <v>120</v>
      </c>
    </row>
    <row r="213" spans="1:5" hidden="1" x14ac:dyDescent="0.3">
      <c r="A213" s="1" t="s">
        <v>22</v>
      </c>
      <c r="B213" t="s">
        <v>139</v>
      </c>
      <c r="C213" s="1">
        <v>2040</v>
      </c>
      <c r="D213" s="82">
        <v>-296.15413513183597</v>
      </c>
      <c r="E213" s="6" t="s">
        <v>120</v>
      </c>
    </row>
    <row r="214" spans="1:5" hidden="1" x14ac:dyDescent="0.3">
      <c r="A214" s="1" t="s">
        <v>22</v>
      </c>
      <c r="B214" t="s">
        <v>139</v>
      </c>
      <c r="C214" s="1">
        <v>2045</v>
      </c>
      <c r="D214" s="82">
        <v>-301.3673126220703</v>
      </c>
      <c r="E214" s="6" t="s">
        <v>120</v>
      </c>
    </row>
    <row r="215" spans="1:5" hidden="1" x14ac:dyDescent="0.3">
      <c r="A215" s="1" t="s">
        <v>22</v>
      </c>
      <c r="B215" t="s">
        <v>139</v>
      </c>
      <c r="C215" s="1">
        <v>2050</v>
      </c>
      <c r="D215" s="82">
        <v>-301.32064819335943</v>
      </c>
      <c r="E215" s="6" t="s">
        <v>120</v>
      </c>
    </row>
    <row r="216" spans="1:5" hidden="1" x14ac:dyDescent="0.3">
      <c r="A216" s="1" t="s">
        <v>22</v>
      </c>
      <c r="B216" t="s">
        <v>139</v>
      </c>
      <c r="C216" s="1">
        <v>2055</v>
      </c>
      <c r="D216" s="82">
        <v>-301.27398376464845</v>
      </c>
      <c r="E216" s="6" t="s">
        <v>120</v>
      </c>
    </row>
    <row r="217" spans="1:5" hidden="1" x14ac:dyDescent="0.3">
      <c r="A217" s="1" t="s">
        <v>22</v>
      </c>
      <c r="B217" t="s">
        <v>139</v>
      </c>
      <c r="C217" s="1">
        <v>2060</v>
      </c>
      <c r="D217" s="82">
        <v>-301.22731933593752</v>
      </c>
      <c r="E217" s="6" t="s">
        <v>120</v>
      </c>
    </row>
    <row r="218" spans="1:5" hidden="1" x14ac:dyDescent="0.3">
      <c r="A218" s="1" t="s">
        <v>22</v>
      </c>
      <c r="B218" t="s">
        <v>139</v>
      </c>
      <c r="C218" s="1">
        <v>2070</v>
      </c>
      <c r="D218" s="82">
        <v>-301.18068237304692</v>
      </c>
      <c r="E218" s="6" t="s">
        <v>120</v>
      </c>
    </row>
    <row r="219" spans="1:5" hidden="1" x14ac:dyDescent="0.3">
      <c r="A219" s="1" t="s">
        <v>22</v>
      </c>
      <c r="B219" t="s">
        <v>139</v>
      </c>
      <c r="C219" s="1">
        <v>2080</v>
      </c>
      <c r="D219" s="82">
        <v>-301.18068237304692</v>
      </c>
      <c r="E219" s="6" t="s">
        <v>120</v>
      </c>
    </row>
    <row r="220" spans="1:5" hidden="1" x14ac:dyDescent="0.3">
      <c r="A220" s="1" t="s">
        <v>22</v>
      </c>
      <c r="B220" t="s">
        <v>139</v>
      </c>
      <c r="C220" s="1">
        <v>2090</v>
      </c>
      <c r="D220" s="82">
        <v>-301.18068237304692</v>
      </c>
      <c r="E220" s="6" t="s">
        <v>120</v>
      </c>
    </row>
    <row r="221" spans="1:5" hidden="1" x14ac:dyDescent="0.3">
      <c r="A221" s="1" t="s">
        <v>22</v>
      </c>
      <c r="B221" t="s">
        <v>139</v>
      </c>
      <c r="C221" s="1">
        <v>2100</v>
      </c>
      <c r="D221" s="82">
        <v>-301.18068237304692</v>
      </c>
      <c r="E221" s="6" t="s">
        <v>120</v>
      </c>
    </row>
    <row r="222" spans="1:5" hidden="1" x14ac:dyDescent="0.3">
      <c r="A222" s="1" t="s">
        <v>22</v>
      </c>
      <c r="B222" t="s">
        <v>139</v>
      </c>
      <c r="C222" s="1">
        <v>2110</v>
      </c>
      <c r="D222" s="82">
        <v>-301.18068237304692</v>
      </c>
      <c r="E222" s="6" t="s">
        <v>120</v>
      </c>
    </row>
    <row r="223" spans="1:5" hidden="1" x14ac:dyDescent="0.3">
      <c r="A223" s="1" t="s">
        <v>15</v>
      </c>
      <c r="B223" t="s">
        <v>139</v>
      </c>
      <c r="C223" s="1">
        <v>2015</v>
      </c>
      <c r="D223" s="83">
        <v>285.22134399414063</v>
      </c>
      <c r="E223" s="6" t="s">
        <v>120</v>
      </c>
    </row>
    <row r="224" spans="1:5" hidden="1" x14ac:dyDescent="0.3">
      <c r="A224" s="1" t="s">
        <v>15</v>
      </c>
      <c r="B224" t="s">
        <v>139</v>
      </c>
      <c r="C224" s="1">
        <v>2020</v>
      </c>
      <c r="D224" s="83">
        <v>307.52487182617188</v>
      </c>
      <c r="E224" s="6" t="s">
        <v>120</v>
      </c>
    </row>
    <row r="225" spans="1:5" hidden="1" x14ac:dyDescent="0.3">
      <c r="A225" s="1" t="s">
        <v>15</v>
      </c>
      <c r="B225" t="s">
        <v>139</v>
      </c>
      <c r="C225" s="1">
        <v>2025</v>
      </c>
      <c r="D225" s="83">
        <v>303.4815673828125</v>
      </c>
      <c r="E225" s="6" t="s">
        <v>120</v>
      </c>
    </row>
    <row r="226" spans="1:5" hidden="1" x14ac:dyDescent="0.3">
      <c r="A226" s="1" t="s">
        <v>15</v>
      </c>
      <c r="B226" t="s">
        <v>139</v>
      </c>
      <c r="C226" s="1">
        <v>2030</v>
      </c>
      <c r="D226" s="83">
        <v>306.04852294921881</v>
      </c>
      <c r="E226" s="6" t="s">
        <v>120</v>
      </c>
    </row>
    <row r="227" spans="1:5" hidden="1" x14ac:dyDescent="0.3">
      <c r="A227" s="1" t="s">
        <v>15</v>
      </c>
      <c r="B227" t="s">
        <v>139</v>
      </c>
      <c r="C227" s="1">
        <v>2035</v>
      </c>
      <c r="D227" s="83">
        <v>317.3458251953125</v>
      </c>
      <c r="E227" s="6" t="s">
        <v>120</v>
      </c>
    </row>
    <row r="228" spans="1:5" hidden="1" x14ac:dyDescent="0.3">
      <c r="A228" s="1" t="s">
        <v>15</v>
      </c>
      <c r="B228" t="s">
        <v>139</v>
      </c>
      <c r="C228" s="1">
        <v>2040</v>
      </c>
      <c r="D228" s="83">
        <v>329.06015014648438</v>
      </c>
      <c r="E228" s="6" t="s">
        <v>120</v>
      </c>
    </row>
    <row r="229" spans="1:5" hidden="1" x14ac:dyDescent="0.3">
      <c r="A229" s="1" t="s">
        <v>15</v>
      </c>
      <c r="B229" t="s">
        <v>139</v>
      </c>
      <c r="C229" s="1">
        <v>2045</v>
      </c>
      <c r="D229" s="83">
        <v>334.85256958007813</v>
      </c>
      <c r="E229" s="6" t="s">
        <v>120</v>
      </c>
    </row>
    <row r="230" spans="1:5" hidden="1" x14ac:dyDescent="0.3">
      <c r="A230" s="1" t="s">
        <v>15</v>
      </c>
      <c r="B230" t="s">
        <v>139</v>
      </c>
      <c r="C230" s="1">
        <v>2050</v>
      </c>
      <c r="D230" s="83">
        <v>334.80072021484381</v>
      </c>
      <c r="E230" s="6" t="s">
        <v>120</v>
      </c>
    </row>
    <row r="231" spans="1:5" hidden="1" x14ac:dyDescent="0.3">
      <c r="A231" s="1" t="s">
        <v>15</v>
      </c>
      <c r="B231" t="s">
        <v>139</v>
      </c>
      <c r="C231" s="1">
        <v>2055</v>
      </c>
      <c r="D231" s="83">
        <v>334.74887084960938</v>
      </c>
      <c r="E231" s="6" t="s">
        <v>120</v>
      </c>
    </row>
    <row r="232" spans="1:5" hidden="1" x14ac:dyDescent="0.3">
      <c r="A232" s="1" t="s">
        <v>15</v>
      </c>
      <c r="B232" t="s">
        <v>139</v>
      </c>
      <c r="C232" s="1">
        <v>2060</v>
      </c>
      <c r="D232" s="83">
        <v>334.697021484375</v>
      </c>
      <c r="E232" s="6" t="s">
        <v>120</v>
      </c>
    </row>
    <row r="233" spans="1:5" hidden="1" x14ac:dyDescent="0.3">
      <c r="A233" s="14" t="s">
        <v>15</v>
      </c>
      <c r="B233" s="13" t="s">
        <v>139</v>
      </c>
      <c r="C233" s="1">
        <v>2070</v>
      </c>
      <c r="D233" s="79">
        <v>334.64520263671881</v>
      </c>
      <c r="E233" s="6" t="s">
        <v>120</v>
      </c>
    </row>
    <row r="234" spans="1:5" hidden="1" x14ac:dyDescent="0.3">
      <c r="A234" s="1" t="s">
        <v>15</v>
      </c>
      <c r="B234" t="s">
        <v>139</v>
      </c>
      <c r="C234" s="1">
        <v>2080</v>
      </c>
      <c r="D234" s="83">
        <v>334.64520263671881</v>
      </c>
      <c r="E234" s="6" t="s">
        <v>120</v>
      </c>
    </row>
    <row r="235" spans="1:5" hidden="1" x14ac:dyDescent="0.3">
      <c r="A235" s="1" t="s">
        <v>15</v>
      </c>
      <c r="B235" t="s">
        <v>139</v>
      </c>
      <c r="C235" s="1">
        <v>2090</v>
      </c>
      <c r="D235" s="83">
        <v>334.64520263671881</v>
      </c>
      <c r="E235" s="6" t="s">
        <v>120</v>
      </c>
    </row>
    <row r="236" spans="1:5" hidden="1" x14ac:dyDescent="0.3">
      <c r="A236" s="1" t="s">
        <v>15</v>
      </c>
      <c r="B236" t="s">
        <v>139</v>
      </c>
      <c r="C236" s="1">
        <v>2100</v>
      </c>
      <c r="D236" s="83">
        <v>334.64520263671881</v>
      </c>
      <c r="E236" s="6" t="s">
        <v>120</v>
      </c>
    </row>
    <row r="237" spans="1:5" hidden="1" x14ac:dyDescent="0.3">
      <c r="A237" s="1" t="s">
        <v>15</v>
      </c>
      <c r="B237" t="s">
        <v>139</v>
      </c>
      <c r="C237" s="1">
        <v>2110</v>
      </c>
      <c r="D237" s="83">
        <v>334.64520263671881</v>
      </c>
      <c r="E237" s="6" t="s">
        <v>120</v>
      </c>
    </row>
    <row r="238" spans="1:5" hidden="1" x14ac:dyDescent="0.3">
      <c r="A238" s="1" t="s">
        <v>14</v>
      </c>
      <c r="B238" t="s">
        <v>139</v>
      </c>
      <c r="C238" s="1">
        <v>2015</v>
      </c>
      <c r="D238" s="82">
        <v>10</v>
      </c>
      <c r="E238" s="6" t="s">
        <v>120</v>
      </c>
    </row>
    <row r="239" spans="1:5" hidden="1" x14ac:dyDescent="0.3">
      <c r="A239" s="1" t="s">
        <v>14</v>
      </c>
      <c r="B239" t="s">
        <v>139</v>
      </c>
      <c r="C239" s="1">
        <v>2020</v>
      </c>
      <c r="D239" s="82">
        <v>10</v>
      </c>
      <c r="E239" s="6" t="s">
        <v>120</v>
      </c>
    </row>
    <row r="240" spans="1:5" hidden="1" x14ac:dyDescent="0.3">
      <c r="A240" s="1" t="s">
        <v>14</v>
      </c>
      <c r="B240" t="s">
        <v>139</v>
      </c>
      <c r="C240" s="1">
        <v>2025</v>
      </c>
      <c r="D240" s="82">
        <v>10</v>
      </c>
      <c r="E240" s="6" t="s">
        <v>120</v>
      </c>
    </row>
    <row r="241" spans="1:5" hidden="1" x14ac:dyDescent="0.3">
      <c r="A241" s="1" t="s">
        <v>14</v>
      </c>
      <c r="B241" t="s">
        <v>139</v>
      </c>
      <c r="C241" s="1">
        <v>2030</v>
      </c>
      <c r="D241" s="82">
        <v>10</v>
      </c>
      <c r="E241" s="6" t="s">
        <v>120</v>
      </c>
    </row>
    <row r="242" spans="1:5" hidden="1" x14ac:dyDescent="0.3">
      <c r="A242" s="1" t="s">
        <v>14</v>
      </c>
      <c r="B242" t="s">
        <v>139</v>
      </c>
      <c r="C242" s="1">
        <v>2035</v>
      </c>
      <c r="D242" s="82">
        <v>10</v>
      </c>
      <c r="E242" s="6" t="s">
        <v>120</v>
      </c>
    </row>
    <row r="243" spans="1:5" hidden="1" x14ac:dyDescent="0.3">
      <c r="A243" s="16" t="s">
        <v>14</v>
      </c>
      <c r="B243" s="15" t="s">
        <v>139</v>
      </c>
      <c r="C243" s="1">
        <v>2040</v>
      </c>
      <c r="D243" s="18">
        <v>10</v>
      </c>
      <c r="E243" s="6" t="s">
        <v>120</v>
      </c>
    </row>
    <row r="244" spans="1:5" hidden="1" x14ac:dyDescent="0.3">
      <c r="A244" s="14" t="s">
        <v>14</v>
      </c>
      <c r="B244" s="13" t="s">
        <v>139</v>
      </c>
      <c r="C244" s="1">
        <v>2045</v>
      </c>
      <c r="D244" s="77">
        <v>10</v>
      </c>
      <c r="E244" s="6" t="s">
        <v>120</v>
      </c>
    </row>
    <row r="245" spans="1:5" hidden="1" x14ac:dyDescent="0.3">
      <c r="A245" s="1" t="s">
        <v>14</v>
      </c>
      <c r="B245" t="s">
        <v>139</v>
      </c>
      <c r="C245" s="1">
        <v>2050</v>
      </c>
      <c r="D245" s="82">
        <v>10</v>
      </c>
      <c r="E245" s="6" t="s">
        <v>120</v>
      </c>
    </row>
    <row r="246" spans="1:5" hidden="1" x14ac:dyDescent="0.3">
      <c r="A246" s="1" t="s">
        <v>14</v>
      </c>
      <c r="B246" t="s">
        <v>139</v>
      </c>
      <c r="C246" s="1">
        <v>2055</v>
      </c>
      <c r="D246" s="82">
        <v>10</v>
      </c>
      <c r="E246" s="6" t="s">
        <v>120</v>
      </c>
    </row>
    <row r="247" spans="1:5" hidden="1" x14ac:dyDescent="0.3">
      <c r="A247" s="1" t="s">
        <v>14</v>
      </c>
      <c r="B247" t="s">
        <v>139</v>
      </c>
      <c r="C247" s="1">
        <v>2060</v>
      </c>
      <c r="D247" s="82">
        <v>10</v>
      </c>
      <c r="E247" s="6" t="s">
        <v>120</v>
      </c>
    </row>
    <row r="248" spans="1:5" hidden="1" x14ac:dyDescent="0.3">
      <c r="A248" s="1" t="s">
        <v>14</v>
      </c>
      <c r="B248" t="s">
        <v>139</v>
      </c>
      <c r="C248" s="1">
        <v>2070</v>
      </c>
      <c r="D248" s="82">
        <v>10</v>
      </c>
      <c r="E248" s="6" t="s">
        <v>120</v>
      </c>
    </row>
    <row r="249" spans="1:5" hidden="1" x14ac:dyDescent="0.3">
      <c r="A249" s="1" t="s">
        <v>14</v>
      </c>
      <c r="B249" t="s">
        <v>139</v>
      </c>
      <c r="C249" s="1">
        <v>2080</v>
      </c>
      <c r="D249" s="82">
        <v>10</v>
      </c>
      <c r="E249" s="6" t="s">
        <v>120</v>
      </c>
    </row>
    <row r="250" spans="1:5" hidden="1" x14ac:dyDescent="0.3">
      <c r="A250" s="1" t="s">
        <v>14</v>
      </c>
      <c r="B250" t="s">
        <v>139</v>
      </c>
      <c r="C250" s="1">
        <v>2090</v>
      </c>
      <c r="D250" s="82">
        <v>10</v>
      </c>
      <c r="E250" s="6" t="s">
        <v>120</v>
      </c>
    </row>
    <row r="251" spans="1:5" hidden="1" x14ac:dyDescent="0.3">
      <c r="A251" s="1" t="s">
        <v>14</v>
      </c>
      <c r="B251" t="s">
        <v>139</v>
      </c>
      <c r="C251" s="1">
        <v>2100</v>
      </c>
      <c r="D251" s="82">
        <v>10</v>
      </c>
      <c r="E251" s="6" t="s">
        <v>120</v>
      </c>
    </row>
    <row r="252" spans="1:5" hidden="1" x14ac:dyDescent="0.3">
      <c r="A252" s="16" t="s">
        <v>14</v>
      </c>
      <c r="B252" s="15" t="s">
        <v>139</v>
      </c>
      <c r="C252" s="1">
        <v>2110</v>
      </c>
      <c r="D252" s="18">
        <v>10</v>
      </c>
      <c r="E252" s="6" t="s">
        <v>120</v>
      </c>
    </row>
    <row r="253" spans="1:5" hidden="1" x14ac:dyDescent="0.3">
      <c r="A253" s="1"/>
      <c r="C253" s="1"/>
      <c r="E253" s="6"/>
    </row>
    <row r="254" spans="1:5" hidden="1" x14ac:dyDescent="0.3">
      <c r="C254" s="1"/>
    </row>
    <row r="255" spans="1:5" x14ac:dyDescent="0.3">
      <c r="A255" s="1" t="s">
        <v>206</v>
      </c>
      <c r="B255" t="s">
        <v>139</v>
      </c>
      <c r="C255" s="1">
        <v>2015</v>
      </c>
      <c r="D255">
        <v>358.6</v>
      </c>
      <c r="E255" s="6" t="s">
        <v>120</v>
      </c>
    </row>
    <row r="256" spans="1:5" x14ac:dyDescent="0.3">
      <c r="A256" s="1" t="s">
        <v>206</v>
      </c>
      <c r="B256" t="s">
        <v>139</v>
      </c>
      <c r="C256" s="1">
        <v>2020</v>
      </c>
      <c r="D256">
        <v>358.6</v>
      </c>
      <c r="E256" s="6" t="s">
        <v>120</v>
      </c>
    </row>
    <row r="257" spans="1:5" x14ac:dyDescent="0.3">
      <c r="A257" s="1" t="s">
        <v>206</v>
      </c>
      <c r="B257" t="s">
        <v>139</v>
      </c>
      <c r="C257" s="1">
        <v>2025</v>
      </c>
      <c r="D257">
        <v>358.62072532098591</v>
      </c>
      <c r="E257" s="6" t="s">
        <v>120</v>
      </c>
    </row>
    <row r="258" spans="1:5" x14ac:dyDescent="0.3">
      <c r="A258" s="1" t="s">
        <v>206</v>
      </c>
      <c r="B258" s="15" t="s">
        <v>139</v>
      </c>
      <c r="C258" s="1">
        <v>2030</v>
      </c>
      <c r="D258">
        <v>358.70840826370704</v>
      </c>
      <c r="E258" s="6" t="s">
        <v>120</v>
      </c>
    </row>
    <row r="259" spans="1:5" x14ac:dyDescent="0.3">
      <c r="A259" s="1" t="s">
        <v>206</v>
      </c>
      <c r="B259" s="13" t="s">
        <v>139</v>
      </c>
      <c r="C259" s="1">
        <v>2035</v>
      </c>
      <c r="D259">
        <v>359.09145702075347</v>
      </c>
      <c r="E259" s="6" t="s">
        <v>120</v>
      </c>
    </row>
    <row r="260" spans="1:5" x14ac:dyDescent="0.3">
      <c r="A260" s="1" t="s">
        <v>206</v>
      </c>
      <c r="B260" t="s">
        <v>139</v>
      </c>
      <c r="C260" s="1">
        <v>2040</v>
      </c>
      <c r="D260">
        <v>359.55671520992473</v>
      </c>
      <c r="E260" s="6" t="s">
        <v>120</v>
      </c>
    </row>
    <row r="261" spans="1:5" x14ac:dyDescent="0.3">
      <c r="A261" s="1" t="s">
        <v>206</v>
      </c>
      <c r="B261" t="s">
        <v>139</v>
      </c>
      <c r="C261" s="1">
        <v>2045</v>
      </c>
      <c r="D261">
        <v>359.89614046160483</v>
      </c>
      <c r="E261" s="6" t="s">
        <v>120</v>
      </c>
    </row>
    <row r="262" spans="1:5" x14ac:dyDescent="0.3">
      <c r="A262" s="1" t="s">
        <v>206</v>
      </c>
      <c r="B262" t="s">
        <v>139</v>
      </c>
      <c r="C262" s="1">
        <v>2050</v>
      </c>
      <c r="D262">
        <v>360.57025598646612</v>
      </c>
      <c r="E262" s="6" t="s">
        <v>120</v>
      </c>
    </row>
    <row r="263" spans="1:5" x14ac:dyDescent="0.3">
      <c r="A263" s="1" t="s">
        <v>206</v>
      </c>
      <c r="B263" t="s">
        <v>139</v>
      </c>
      <c r="C263" s="1">
        <v>2055</v>
      </c>
      <c r="D263">
        <v>361.20584284353794</v>
      </c>
      <c r="E263" s="6" t="s">
        <v>120</v>
      </c>
    </row>
    <row r="264" spans="1:5" x14ac:dyDescent="0.3">
      <c r="A264" s="1" t="s">
        <v>206</v>
      </c>
      <c r="B264" t="s">
        <v>139</v>
      </c>
      <c r="C264" s="1">
        <v>2060</v>
      </c>
      <c r="D264">
        <v>362.28009950874286</v>
      </c>
      <c r="E264" s="6" t="s">
        <v>120</v>
      </c>
    </row>
    <row r="265" spans="1:5" x14ac:dyDescent="0.3">
      <c r="A265" s="1" t="s">
        <v>206</v>
      </c>
      <c r="B265" t="s">
        <v>139</v>
      </c>
      <c r="C265" s="1">
        <v>2070</v>
      </c>
      <c r="D265">
        <v>363.32953332887638</v>
      </c>
      <c r="E265" s="6" t="s">
        <v>120</v>
      </c>
    </row>
    <row r="266" spans="1:5" x14ac:dyDescent="0.3">
      <c r="A266" s="1" t="s">
        <v>206</v>
      </c>
      <c r="B266" t="s">
        <v>139</v>
      </c>
      <c r="C266" s="1">
        <v>2080</v>
      </c>
      <c r="D266">
        <v>364.3700240283074</v>
      </c>
      <c r="E266" s="6" t="s">
        <v>120</v>
      </c>
    </row>
    <row r="267" spans="1:5" x14ac:dyDescent="0.3">
      <c r="A267" s="1" t="s">
        <v>206</v>
      </c>
      <c r="B267" t="s">
        <v>139</v>
      </c>
      <c r="C267" s="1">
        <v>2090</v>
      </c>
      <c r="D267">
        <v>365.67956349050473</v>
      </c>
      <c r="E267" s="6" t="s">
        <v>120</v>
      </c>
    </row>
    <row r="268" spans="1:5" x14ac:dyDescent="0.3">
      <c r="A268" s="1" t="s">
        <v>206</v>
      </c>
      <c r="B268" t="s">
        <v>139</v>
      </c>
      <c r="C268" s="1">
        <v>2100</v>
      </c>
      <c r="D268">
        <v>367.01189930861636</v>
      </c>
      <c r="E268" s="6" t="s">
        <v>120</v>
      </c>
    </row>
    <row r="269" spans="1:5" x14ac:dyDescent="0.3">
      <c r="A269" s="1" t="s">
        <v>206</v>
      </c>
      <c r="B269" s="15" t="s">
        <v>139</v>
      </c>
      <c r="C269" s="1">
        <v>2110</v>
      </c>
      <c r="D269">
        <v>367.59751179983994</v>
      </c>
      <c r="E269" s="6" t="s">
        <v>120</v>
      </c>
    </row>
  </sheetData>
  <autoFilter ref="A1:E269" xr:uid="{475AA06C-B351-46DD-9B30-95F7F23D80C7}">
    <filterColumn colId="0">
      <filters>
        <filter val="LNG_exp"/>
        <filter val="LNG_imp"/>
      </filters>
    </filterColumn>
    <filterColumn colId="4">
      <customFilters>
        <customFilter operator="notEqual" val=" "/>
      </customFilters>
    </filterColumn>
    <sortState xmlns:xlrd2="http://schemas.microsoft.com/office/spreadsheetml/2017/richdata2" ref="A2:E254">
      <sortCondition ref="A1:A254"/>
    </sortState>
  </autoFilter>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51"/>
  <sheetViews>
    <sheetView workbookViewId="0">
      <selection sqref="A1:XFD1"/>
    </sheetView>
  </sheetViews>
  <sheetFormatPr defaultColWidth="8.77734375" defaultRowHeight="14.4" x14ac:dyDescent="0.3"/>
  <cols>
    <col min="4" max="4" width="22" customWidth="1"/>
    <col min="5" max="5" width="17.44140625" customWidth="1"/>
  </cols>
  <sheetData>
    <row r="1" spans="1:9" x14ac:dyDescent="0.3">
      <c r="A1" s="12" t="s">
        <v>11</v>
      </c>
      <c r="B1" s="12" t="s">
        <v>7</v>
      </c>
      <c r="C1" s="12" t="s">
        <v>60</v>
      </c>
      <c r="D1" s="12" t="s">
        <v>61</v>
      </c>
      <c r="E1" s="12" t="s">
        <v>6</v>
      </c>
      <c r="F1" s="12" t="s">
        <v>8</v>
      </c>
      <c r="G1" s="12" t="s">
        <v>9</v>
      </c>
      <c r="H1" s="12" t="s">
        <v>10</v>
      </c>
      <c r="I1" s="12" t="s">
        <v>62</v>
      </c>
    </row>
    <row r="2" spans="1:9" x14ac:dyDescent="0.3">
      <c r="A2" s="48" t="s">
        <v>27</v>
      </c>
      <c r="B2" s="48" t="s">
        <v>180</v>
      </c>
      <c r="C2" s="48" t="s">
        <v>180</v>
      </c>
      <c r="D2" s="48" t="s">
        <v>63</v>
      </c>
      <c r="E2" s="48" t="s">
        <v>38</v>
      </c>
      <c r="F2" s="48" t="s">
        <v>13</v>
      </c>
      <c r="G2" s="48">
        <v>1</v>
      </c>
      <c r="H2" s="48">
        <v>2020</v>
      </c>
      <c r="I2" s="48">
        <v>2020</v>
      </c>
    </row>
    <row r="3" spans="1:9" x14ac:dyDescent="0.3">
      <c r="A3" s="48" t="s">
        <v>27</v>
      </c>
      <c r="B3" s="48" t="s">
        <v>180</v>
      </c>
      <c r="C3" s="48" t="s">
        <v>180</v>
      </c>
      <c r="D3" s="48" t="s">
        <v>63</v>
      </c>
      <c r="E3" s="48" t="s">
        <v>38</v>
      </c>
      <c r="F3" s="48" t="s">
        <v>13</v>
      </c>
      <c r="G3" s="48">
        <v>1</v>
      </c>
      <c r="H3" s="48">
        <v>2030</v>
      </c>
      <c r="I3" s="48">
        <v>2030</v>
      </c>
    </row>
    <row r="4" spans="1:9" x14ac:dyDescent="0.3">
      <c r="A4" s="48" t="s">
        <v>27</v>
      </c>
      <c r="B4" s="48" t="s">
        <v>180</v>
      </c>
      <c r="C4" s="48" t="s">
        <v>180</v>
      </c>
      <c r="D4" s="48" t="s">
        <v>63</v>
      </c>
      <c r="E4" s="48" t="s">
        <v>38</v>
      </c>
      <c r="F4" s="48" t="s">
        <v>13</v>
      </c>
      <c r="G4" s="48">
        <v>1</v>
      </c>
      <c r="H4" s="48">
        <v>2040</v>
      </c>
      <c r="I4" s="48">
        <v>2040</v>
      </c>
    </row>
    <row r="5" spans="1:9" x14ac:dyDescent="0.3">
      <c r="A5" s="48" t="s">
        <v>27</v>
      </c>
      <c r="B5" s="48" t="s">
        <v>180</v>
      </c>
      <c r="C5" s="48" t="s">
        <v>180</v>
      </c>
      <c r="D5" s="48" t="s">
        <v>63</v>
      </c>
      <c r="E5" s="48" t="s">
        <v>38</v>
      </c>
      <c r="F5" s="48" t="s">
        <v>13</v>
      </c>
      <c r="G5" s="48">
        <v>1</v>
      </c>
      <c r="H5" s="48">
        <v>2050</v>
      </c>
      <c r="I5" s="48">
        <v>2050</v>
      </c>
    </row>
    <row r="6" spans="1:9" x14ac:dyDescent="0.3">
      <c r="A6" s="48" t="s">
        <v>27</v>
      </c>
      <c r="B6" s="48" t="s">
        <v>180</v>
      </c>
      <c r="C6" s="48" t="s">
        <v>180</v>
      </c>
      <c r="D6" s="48" t="s">
        <v>63</v>
      </c>
      <c r="E6" s="48" t="s">
        <v>38</v>
      </c>
      <c r="F6" s="48" t="s">
        <v>13</v>
      </c>
      <c r="G6" s="48">
        <v>1</v>
      </c>
      <c r="H6" s="48">
        <v>2060</v>
      </c>
      <c r="I6" s="48">
        <v>2060</v>
      </c>
    </row>
    <row r="7" spans="1:9" x14ac:dyDescent="0.3">
      <c r="A7" s="48" t="s">
        <v>27</v>
      </c>
      <c r="B7" s="48" t="s">
        <v>180</v>
      </c>
      <c r="C7" s="48" t="s">
        <v>180</v>
      </c>
      <c r="D7" s="48" t="s">
        <v>63</v>
      </c>
      <c r="E7" s="48" t="s">
        <v>38</v>
      </c>
      <c r="F7" s="48" t="s">
        <v>13</v>
      </c>
      <c r="G7" s="48">
        <v>1</v>
      </c>
      <c r="H7" s="48">
        <v>2070</v>
      </c>
      <c r="I7" s="48">
        <v>2070</v>
      </c>
    </row>
    <row r="8" spans="1:9" x14ac:dyDescent="0.3">
      <c r="A8" s="48" t="s">
        <v>27</v>
      </c>
      <c r="B8" s="48" t="s">
        <v>180</v>
      </c>
      <c r="C8" s="48" t="s">
        <v>180</v>
      </c>
      <c r="D8" s="48" t="s">
        <v>63</v>
      </c>
      <c r="E8" s="48" t="s">
        <v>38</v>
      </c>
      <c r="F8" s="48" t="s">
        <v>13</v>
      </c>
      <c r="G8" s="48">
        <v>1</v>
      </c>
      <c r="H8" s="48">
        <v>2080</v>
      </c>
      <c r="I8" s="48">
        <v>2080</v>
      </c>
    </row>
    <row r="9" spans="1:9" x14ac:dyDescent="0.3">
      <c r="A9" s="48" t="s">
        <v>27</v>
      </c>
      <c r="B9" s="48" t="s">
        <v>180</v>
      </c>
      <c r="C9" s="48" t="s">
        <v>180</v>
      </c>
      <c r="D9" s="48" t="s">
        <v>63</v>
      </c>
      <c r="E9" s="48" t="s">
        <v>38</v>
      </c>
      <c r="F9" s="48" t="s">
        <v>13</v>
      </c>
      <c r="G9" s="48">
        <v>1</v>
      </c>
      <c r="H9" s="48">
        <v>2090</v>
      </c>
      <c r="I9" s="48">
        <v>2090</v>
      </c>
    </row>
    <row r="10" spans="1:9" x14ac:dyDescent="0.3">
      <c r="A10" s="48" t="s">
        <v>27</v>
      </c>
      <c r="B10" s="48" t="s">
        <v>180</v>
      </c>
      <c r="C10" s="48" t="s">
        <v>180</v>
      </c>
      <c r="D10" s="48" t="s">
        <v>63</v>
      </c>
      <c r="E10" s="48" t="s">
        <v>38</v>
      </c>
      <c r="F10" s="48" t="s">
        <v>13</v>
      </c>
      <c r="G10" s="48">
        <v>1</v>
      </c>
      <c r="H10" s="48">
        <v>2100</v>
      </c>
      <c r="I10" s="48">
        <v>2100</v>
      </c>
    </row>
    <row r="11" spans="1:9" x14ac:dyDescent="0.3">
      <c r="A11" s="48" t="s">
        <v>27</v>
      </c>
      <c r="B11" s="48" t="s">
        <v>180</v>
      </c>
      <c r="C11" s="48" t="s">
        <v>180</v>
      </c>
      <c r="D11" s="48" t="s">
        <v>63</v>
      </c>
      <c r="E11" s="48" t="s">
        <v>38</v>
      </c>
      <c r="F11" s="48" t="s">
        <v>13</v>
      </c>
      <c r="G11" s="48">
        <v>1</v>
      </c>
      <c r="H11" s="48">
        <v>2110</v>
      </c>
      <c r="I11" s="48">
        <v>2110</v>
      </c>
    </row>
    <row r="12" spans="1:9" x14ac:dyDescent="0.3">
      <c r="A12" s="48" t="s">
        <v>27</v>
      </c>
      <c r="B12" s="48" t="s">
        <v>180</v>
      </c>
      <c r="C12" s="48" t="s">
        <v>180</v>
      </c>
      <c r="D12" s="48" t="s">
        <v>63</v>
      </c>
      <c r="E12" s="48" t="s">
        <v>41</v>
      </c>
      <c r="F12" s="48" t="s">
        <v>13</v>
      </c>
      <c r="G12" s="48">
        <v>1</v>
      </c>
      <c r="H12" s="48">
        <v>2020</v>
      </c>
      <c r="I12" s="48">
        <v>2020</v>
      </c>
    </row>
    <row r="13" spans="1:9" x14ac:dyDescent="0.3">
      <c r="A13" s="48" t="s">
        <v>27</v>
      </c>
      <c r="B13" s="48" t="s">
        <v>180</v>
      </c>
      <c r="C13" s="48" t="s">
        <v>180</v>
      </c>
      <c r="D13" s="48" t="s">
        <v>63</v>
      </c>
      <c r="E13" s="48" t="s">
        <v>41</v>
      </c>
      <c r="F13" s="48" t="s">
        <v>13</v>
      </c>
      <c r="G13" s="48">
        <v>1</v>
      </c>
      <c r="H13" s="48">
        <v>2030</v>
      </c>
      <c r="I13" s="48">
        <v>2030</v>
      </c>
    </row>
    <row r="14" spans="1:9" x14ac:dyDescent="0.3">
      <c r="A14" s="48" t="s">
        <v>27</v>
      </c>
      <c r="B14" s="48" t="s">
        <v>180</v>
      </c>
      <c r="C14" s="48" t="s">
        <v>180</v>
      </c>
      <c r="D14" s="48" t="s">
        <v>63</v>
      </c>
      <c r="E14" s="48" t="s">
        <v>41</v>
      </c>
      <c r="F14" s="48" t="s">
        <v>13</v>
      </c>
      <c r="G14" s="48">
        <v>1</v>
      </c>
      <c r="H14" s="48">
        <v>2040</v>
      </c>
      <c r="I14" s="48">
        <v>2040</v>
      </c>
    </row>
    <row r="15" spans="1:9" x14ac:dyDescent="0.3">
      <c r="A15" s="48" t="s">
        <v>27</v>
      </c>
      <c r="B15" s="48" t="s">
        <v>180</v>
      </c>
      <c r="C15" s="48" t="s">
        <v>180</v>
      </c>
      <c r="D15" s="48" t="s">
        <v>63</v>
      </c>
      <c r="E15" s="48" t="s">
        <v>41</v>
      </c>
      <c r="F15" s="48" t="s">
        <v>13</v>
      </c>
      <c r="G15" s="48">
        <v>1</v>
      </c>
      <c r="H15" s="48">
        <v>2050</v>
      </c>
      <c r="I15" s="48">
        <v>2050</v>
      </c>
    </row>
    <row r="16" spans="1:9" x14ac:dyDescent="0.3">
      <c r="A16" s="48" t="s">
        <v>27</v>
      </c>
      <c r="B16" s="48" t="s">
        <v>180</v>
      </c>
      <c r="C16" s="48" t="s">
        <v>180</v>
      </c>
      <c r="D16" s="48" t="s">
        <v>63</v>
      </c>
      <c r="E16" s="48" t="s">
        <v>41</v>
      </c>
      <c r="F16" s="48" t="s">
        <v>13</v>
      </c>
      <c r="G16" s="48">
        <v>1</v>
      </c>
      <c r="H16" s="48">
        <v>2060</v>
      </c>
      <c r="I16" s="48">
        <v>2060</v>
      </c>
    </row>
    <row r="17" spans="1:9" x14ac:dyDescent="0.3">
      <c r="A17" s="48" t="s">
        <v>27</v>
      </c>
      <c r="B17" s="48" t="s">
        <v>180</v>
      </c>
      <c r="C17" s="48" t="s">
        <v>180</v>
      </c>
      <c r="D17" s="48" t="s">
        <v>63</v>
      </c>
      <c r="E17" s="48" t="s">
        <v>41</v>
      </c>
      <c r="F17" s="48" t="s">
        <v>13</v>
      </c>
      <c r="G17" s="48">
        <v>1</v>
      </c>
      <c r="H17" s="48">
        <v>2070</v>
      </c>
      <c r="I17" s="48">
        <v>2070</v>
      </c>
    </row>
    <row r="18" spans="1:9" x14ac:dyDescent="0.3">
      <c r="A18" s="48" t="s">
        <v>27</v>
      </c>
      <c r="B18" s="48" t="s">
        <v>180</v>
      </c>
      <c r="C18" s="48" t="s">
        <v>180</v>
      </c>
      <c r="D18" s="48" t="s">
        <v>63</v>
      </c>
      <c r="E18" s="48" t="s">
        <v>41</v>
      </c>
      <c r="F18" s="48" t="s">
        <v>13</v>
      </c>
      <c r="G18" s="48">
        <v>1</v>
      </c>
      <c r="H18" s="48">
        <v>2080</v>
      </c>
      <c r="I18" s="48">
        <v>2080</v>
      </c>
    </row>
    <row r="19" spans="1:9" x14ac:dyDescent="0.3">
      <c r="A19" s="48" t="s">
        <v>27</v>
      </c>
      <c r="B19" s="48" t="s">
        <v>180</v>
      </c>
      <c r="C19" s="48" t="s">
        <v>180</v>
      </c>
      <c r="D19" s="48" t="s">
        <v>63</v>
      </c>
      <c r="E19" s="48" t="s">
        <v>41</v>
      </c>
      <c r="F19" s="48" t="s">
        <v>13</v>
      </c>
      <c r="G19" s="48">
        <v>1</v>
      </c>
      <c r="H19" s="48">
        <v>2090</v>
      </c>
      <c r="I19" s="48">
        <v>2090</v>
      </c>
    </row>
    <row r="20" spans="1:9" x14ac:dyDescent="0.3">
      <c r="A20" s="48" t="s">
        <v>27</v>
      </c>
      <c r="B20" s="48" t="s">
        <v>180</v>
      </c>
      <c r="C20" s="48" t="s">
        <v>180</v>
      </c>
      <c r="D20" s="48" t="s">
        <v>63</v>
      </c>
      <c r="E20" s="48" t="s">
        <v>41</v>
      </c>
      <c r="F20" s="48" t="s">
        <v>13</v>
      </c>
      <c r="G20" s="48">
        <v>1</v>
      </c>
      <c r="H20" s="48">
        <v>2100</v>
      </c>
      <c r="I20" s="48">
        <v>2100</v>
      </c>
    </row>
    <row r="21" spans="1:9" x14ac:dyDescent="0.3">
      <c r="A21" s="48" t="s">
        <v>27</v>
      </c>
      <c r="B21" s="48" t="s">
        <v>180</v>
      </c>
      <c r="C21" s="48" t="s">
        <v>180</v>
      </c>
      <c r="D21" s="48" t="s">
        <v>63</v>
      </c>
      <c r="E21" s="48" t="s">
        <v>41</v>
      </c>
      <c r="F21" s="48" t="s">
        <v>13</v>
      </c>
      <c r="G21" s="48">
        <v>1</v>
      </c>
      <c r="H21" s="48">
        <v>2110</v>
      </c>
      <c r="I21" s="48">
        <v>2110</v>
      </c>
    </row>
    <row r="22" spans="1:9" x14ac:dyDescent="0.3">
      <c r="A22" s="48" t="s">
        <v>27</v>
      </c>
      <c r="B22" s="48" t="s">
        <v>180</v>
      </c>
      <c r="C22" s="48" t="s">
        <v>180</v>
      </c>
      <c r="D22" s="48" t="s">
        <v>63</v>
      </c>
      <c r="E22" s="48" t="s">
        <v>42</v>
      </c>
      <c r="F22" s="48" t="s">
        <v>13</v>
      </c>
      <c r="G22" s="48">
        <v>1</v>
      </c>
      <c r="H22" s="48">
        <v>2020</v>
      </c>
      <c r="I22" s="48">
        <v>2020</v>
      </c>
    </row>
    <row r="23" spans="1:9" x14ac:dyDescent="0.3">
      <c r="A23" s="48" t="s">
        <v>27</v>
      </c>
      <c r="B23" s="48" t="s">
        <v>180</v>
      </c>
      <c r="C23" s="48" t="s">
        <v>180</v>
      </c>
      <c r="D23" s="48" t="s">
        <v>63</v>
      </c>
      <c r="E23" s="48" t="s">
        <v>42</v>
      </c>
      <c r="F23" s="48" t="s">
        <v>13</v>
      </c>
      <c r="G23" s="48">
        <v>1</v>
      </c>
      <c r="H23" s="48">
        <v>2030</v>
      </c>
      <c r="I23" s="48">
        <v>2030</v>
      </c>
    </row>
    <row r="24" spans="1:9" x14ac:dyDescent="0.3">
      <c r="A24" s="48" t="s">
        <v>27</v>
      </c>
      <c r="B24" s="48" t="s">
        <v>180</v>
      </c>
      <c r="C24" s="48" t="s">
        <v>180</v>
      </c>
      <c r="D24" s="48" t="s">
        <v>63</v>
      </c>
      <c r="E24" s="48" t="s">
        <v>42</v>
      </c>
      <c r="F24" s="48" t="s">
        <v>13</v>
      </c>
      <c r="G24" s="48">
        <v>1</v>
      </c>
      <c r="H24" s="48">
        <v>2040</v>
      </c>
      <c r="I24" s="48">
        <v>2040</v>
      </c>
    </row>
    <row r="25" spans="1:9" x14ac:dyDescent="0.3">
      <c r="A25" s="48" t="s">
        <v>27</v>
      </c>
      <c r="B25" s="48" t="s">
        <v>180</v>
      </c>
      <c r="C25" s="48" t="s">
        <v>180</v>
      </c>
      <c r="D25" s="48" t="s">
        <v>63</v>
      </c>
      <c r="E25" s="48" t="s">
        <v>42</v>
      </c>
      <c r="F25" s="48" t="s">
        <v>13</v>
      </c>
      <c r="G25" s="48">
        <v>1</v>
      </c>
      <c r="H25" s="48">
        <v>2050</v>
      </c>
      <c r="I25" s="48">
        <v>2050</v>
      </c>
    </row>
    <row r="26" spans="1:9" x14ac:dyDescent="0.3">
      <c r="A26" s="48" t="s">
        <v>27</v>
      </c>
      <c r="B26" s="48" t="s">
        <v>180</v>
      </c>
      <c r="C26" s="48" t="s">
        <v>180</v>
      </c>
      <c r="D26" s="48" t="s">
        <v>63</v>
      </c>
      <c r="E26" s="48" t="s">
        <v>42</v>
      </c>
      <c r="F26" s="48" t="s">
        <v>13</v>
      </c>
      <c r="G26" s="48">
        <v>1</v>
      </c>
      <c r="H26" s="48">
        <v>2060</v>
      </c>
      <c r="I26" s="48">
        <v>2060</v>
      </c>
    </row>
    <row r="27" spans="1:9" x14ac:dyDescent="0.3">
      <c r="A27" s="48" t="s">
        <v>27</v>
      </c>
      <c r="B27" s="48" t="s">
        <v>180</v>
      </c>
      <c r="C27" s="48" t="s">
        <v>180</v>
      </c>
      <c r="D27" s="48" t="s">
        <v>63</v>
      </c>
      <c r="E27" s="48" t="s">
        <v>42</v>
      </c>
      <c r="F27" s="48" t="s">
        <v>13</v>
      </c>
      <c r="G27" s="48">
        <v>1</v>
      </c>
      <c r="H27" s="48">
        <v>2070</v>
      </c>
      <c r="I27" s="48">
        <v>2070</v>
      </c>
    </row>
    <row r="28" spans="1:9" x14ac:dyDescent="0.3">
      <c r="A28" s="48" t="s">
        <v>27</v>
      </c>
      <c r="B28" s="48" t="s">
        <v>180</v>
      </c>
      <c r="C28" s="48" t="s">
        <v>180</v>
      </c>
      <c r="D28" s="48" t="s">
        <v>63</v>
      </c>
      <c r="E28" s="48" t="s">
        <v>42</v>
      </c>
      <c r="F28" s="48" t="s">
        <v>13</v>
      </c>
      <c r="G28" s="48">
        <v>1</v>
      </c>
      <c r="H28" s="48">
        <v>2080</v>
      </c>
      <c r="I28" s="48">
        <v>2080</v>
      </c>
    </row>
    <row r="29" spans="1:9" x14ac:dyDescent="0.3">
      <c r="A29" s="48" t="s">
        <v>27</v>
      </c>
      <c r="B29" s="48" t="s">
        <v>180</v>
      </c>
      <c r="C29" s="48" t="s">
        <v>180</v>
      </c>
      <c r="D29" s="48" t="s">
        <v>63</v>
      </c>
      <c r="E29" s="48" t="s">
        <v>42</v>
      </c>
      <c r="F29" s="48" t="s">
        <v>13</v>
      </c>
      <c r="G29" s="48">
        <v>1</v>
      </c>
      <c r="H29" s="48">
        <v>2090</v>
      </c>
      <c r="I29" s="48">
        <v>2090</v>
      </c>
    </row>
    <row r="30" spans="1:9" x14ac:dyDescent="0.3">
      <c r="A30" s="48" t="s">
        <v>27</v>
      </c>
      <c r="B30" s="48" t="s">
        <v>180</v>
      </c>
      <c r="C30" s="48" t="s">
        <v>180</v>
      </c>
      <c r="D30" s="48" t="s">
        <v>63</v>
      </c>
      <c r="E30" s="48" t="s">
        <v>42</v>
      </c>
      <c r="F30" s="48" t="s">
        <v>13</v>
      </c>
      <c r="G30" s="48">
        <v>1</v>
      </c>
      <c r="H30" s="48">
        <v>2100</v>
      </c>
      <c r="I30" s="48">
        <v>2100</v>
      </c>
    </row>
    <row r="31" spans="1:9" x14ac:dyDescent="0.3">
      <c r="A31" s="48" t="s">
        <v>27</v>
      </c>
      <c r="B31" s="48" t="s">
        <v>180</v>
      </c>
      <c r="C31" s="48" t="s">
        <v>180</v>
      </c>
      <c r="D31" s="48" t="s">
        <v>63</v>
      </c>
      <c r="E31" s="48" t="s">
        <v>42</v>
      </c>
      <c r="F31" s="48" t="s">
        <v>13</v>
      </c>
      <c r="G31" s="48">
        <v>1</v>
      </c>
      <c r="H31" s="48">
        <v>2110</v>
      </c>
      <c r="I31" s="48">
        <v>2110</v>
      </c>
    </row>
    <row r="32" spans="1:9" x14ac:dyDescent="0.3">
      <c r="A32" s="48" t="s">
        <v>27</v>
      </c>
      <c r="B32" s="48" t="s">
        <v>180</v>
      </c>
      <c r="C32" s="48" t="s">
        <v>180</v>
      </c>
      <c r="D32" s="48" t="s">
        <v>63</v>
      </c>
      <c r="E32" s="48" t="s">
        <v>43</v>
      </c>
      <c r="F32" s="48" t="s">
        <v>13</v>
      </c>
      <c r="G32" s="48">
        <v>1</v>
      </c>
      <c r="H32" s="48">
        <v>2020</v>
      </c>
      <c r="I32" s="48">
        <v>2020</v>
      </c>
    </row>
    <row r="33" spans="1:9" x14ac:dyDescent="0.3">
      <c r="A33" s="48" t="s">
        <v>27</v>
      </c>
      <c r="B33" s="48" t="s">
        <v>180</v>
      </c>
      <c r="C33" s="48" t="s">
        <v>180</v>
      </c>
      <c r="D33" s="48" t="s">
        <v>63</v>
      </c>
      <c r="E33" s="48" t="s">
        <v>43</v>
      </c>
      <c r="F33" s="48" t="s">
        <v>13</v>
      </c>
      <c r="G33" s="48">
        <v>1</v>
      </c>
      <c r="H33" s="48">
        <v>2030</v>
      </c>
      <c r="I33" s="48">
        <v>2030</v>
      </c>
    </row>
    <row r="34" spans="1:9" x14ac:dyDescent="0.3">
      <c r="A34" s="48" t="s">
        <v>27</v>
      </c>
      <c r="B34" s="48" t="s">
        <v>180</v>
      </c>
      <c r="C34" s="48" t="s">
        <v>180</v>
      </c>
      <c r="D34" s="48" t="s">
        <v>63</v>
      </c>
      <c r="E34" s="48" t="s">
        <v>43</v>
      </c>
      <c r="F34" s="48" t="s">
        <v>13</v>
      </c>
      <c r="G34" s="48">
        <v>1</v>
      </c>
      <c r="H34" s="48">
        <v>2040</v>
      </c>
      <c r="I34" s="48">
        <v>2040</v>
      </c>
    </row>
    <row r="35" spans="1:9" x14ac:dyDescent="0.3">
      <c r="A35" s="48" t="s">
        <v>27</v>
      </c>
      <c r="B35" s="48" t="s">
        <v>180</v>
      </c>
      <c r="C35" s="48" t="s">
        <v>180</v>
      </c>
      <c r="D35" s="48" t="s">
        <v>63</v>
      </c>
      <c r="E35" s="48" t="s">
        <v>43</v>
      </c>
      <c r="F35" s="48" t="s">
        <v>13</v>
      </c>
      <c r="G35" s="48">
        <v>1</v>
      </c>
      <c r="H35" s="48">
        <v>2050</v>
      </c>
      <c r="I35" s="48">
        <v>2050</v>
      </c>
    </row>
    <row r="36" spans="1:9" x14ac:dyDescent="0.3">
      <c r="A36" s="48" t="s">
        <v>27</v>
      </c>
      <c r="B36" s="48" t="s">
        <v>180</v>
      </c>
      <c r="C36" s="48" t="s">
        <v>180</v>
      </c>
      <c r="D36" s="48" t="s">
        <v>63</v>
      </c>
      <c r="E36" s="48" t="s">
        <v>43</v>
      </c>
      <c r="F36" s="48" t="s">
        <v>13</v>
      </c>
      <c r="G36" s="48">
        <v>1</v>
      </c>
      <c r="H36" s="48">
        <v>2060</v>
      </c>
      <c r="I36" s="48">
        <v>2060</v>
      </c>
    </row>
    <row r="37" spans="1:9" x14ac:dyDescent="0.3">
      <c r="A37" s="48" t="s">
        <v>27</v>
      </c>
      <c r="B37" s="48" t="s">
        <v>180</v>
      </c>
      <c r="C37" s="48" t="s">
        <v>180</v>
      </c>
      <c r="D37" s="48" t="s">
        <v>63</v>
      </c>
      <c r="E37" s="48" t="s">
        <v>43</v>
      </c>
      <c r="F37" s="48" t="s">
        <v>13</v>
      </c>
      <c r="G37" s="48">
        <v>1</v>
      </c>
      <c r="H37" s="48">
        <v>2070</v>
      </c>
      <c r="I37" s="48">
        <v>2070</v>
      </c>
    </row>
    <row r="38" spans="1:9" x14ac:dyDescent="0.3">
      <c r="A38" s="48" t="s">
        <v>27</v>
      </c>
      <c r="B38" s="48" t="s">
        <v>180</v>
      </c>
      <c r="C38" s="48" t="s">
        <v>180</v>
      </c>
      <c r="D38" s="48" t="s">
        <v>63</v>
      </c>
      <c r="E38" s="48" t="s">
        <v>43</v>
      </c>
      <c r="F38" s="48" t="s">
        <v>13</v>
      </c>
      <c r="G38" s="48">
        <v>1</v>
      </c>
      <c r="H38" s="48">
        <v>2080</v>
      </c>
      <c r="I38" s="48">
        <v>2080</v>
      </c>
    </row>
    <row r="39" spans="1:9" x14ac:dyDescent="0.3">
      <c r="A39" s="48" t="s">
        <v>27</v>
      </c>
      <c r="B39" s="48" t="s">
        <v>180</v>
      </c>
      <c r="C39" s="48" t="s">
        <v>180</v>
      </c>
      <c r="D39" s="48" t="s">
        <v>63</v>
      </c>
      <c r="E39" s="48" t="s">
        <v>43</v>
      </c>
      <c r="F39" s="48" t="s">
        <v>13</v>
      </c>
      <c r="G39" s="48">
        <v>1</v>
      </c>
      <c r="H39" s="48">
        <v>2090</v>
      </c>
      <c r="I39" s="48">
        <v>2090</v>
      </c>
    </row>
    <row r="40" spans="1:9" x14ac:dyDescent="0.3">
      <c r="A40" s="48" t="s">
        <v>27</v>
      </c>
      <c r="B40" s="48" t="s">
        <v>180</v>
      </c>
      <c r="C40" s="48" t="s">
        <v>180</v>
      </c>
      <c r="D40" s="48" t="s">
        <v>63</v>
      </c>
      <c r="E40" s="48" t="s">
        <v>43</v>
      </c>
      <c r="F40" s="48" t="s">
        <v>13</v>
      </c>
      <c r="G40" s="48">
        <v>1</v>
      </c>
      <c r="H40" s="48">
        <v>2100</v>
      </c>
      <c r="I40" s="48">
        <v>2100</v>
      </c>
    </row>
    <row r="41" spans="1:9" x14ac:dyDescent="0.3">
      <c r="A41" s="48" t="s">
        <v>27</v>
      </c>
      <c r="B41" s="48" t="s">
        <v>180</v>
      </c>
      <c r="C41" s="48" t="s">
        <v>180</v>
      </c>
      <c r="D41" s="48" t="s">
        <v>63</v>
      </c>
      <c r="E41" s="48" t="s">
        <v>43</v>
      </c>
      <c r="F41" s="48" t="s">
        <v>13</v>
      </c>
      <c r="G41" s="48">
        <v>1</v>
      </c>
      <c r="H41" s="48">
        <v>2110</v>
      </c>
      <c r="I41" s="48">
        <v>2110</v>
      </c>
    </row>
    <row r="42" spans="1:9" x14ac:dyDescent="0.3">
      <c r="A42" s="48" t="s">
        <v>27</v>
      </c>
      <c r="B42" s="48" t="s">
        <v>180</v>
      </c>
      <c r="C42" s="48" t="s">
        <v>180</v>
      </c>
      <c r="D42" s="48" t="s">
        <v>63</v>
      </c>
      <c r="E42" s="48" t="s">
        <v>44</v>
      </c>
      <c r="F42" s="48" t="s">
        <v>13</v>
      </c>
      <c r="G42" s="48">
        <v>1</v>
      </c>
      <c r="H42" s="48">
        <v>2020</v>
      </c>
      <c r="I42" s="48">
        <v>2020</v>
      </c>
    </row>
    <row r="43" spans="1:9" x14ac:dyDescent="0.3">
      <c r="A43" s="48" t="s">
        <v>27</v>
      </c>
      <c r="B43" s="48" t="s">
        <v>180</v>
      </c>
      <c r="C43" s="48" t="s">
        <v>180</v>
      </c>
      <c r="D43" s="48" t="s">
        <v>63</v>
      </c>
      <c r="E43" s="48" t="s">
        <v>44</v>
      </c>
      <c r="F43" s="48" t="s">
        <v>13</v>
      </c>
      <c r="G43" s="48">
        <v>1</v>
      </c>
      <c r="H43" s="48">
        <v>2030</v>
      </c>
      <c r="I43" s="48">
        <v>2030</v>
      </c>
    </row>
    <row r="44" spans="1:9" x14ac:dyDescent="0.3">
      <c r="A44" s="48" t="s">
        <v>27</v>
      </c>
      <c r="B44" s="48" t="s">
        <v>180</v>
      </c>
      <c r="C44" s="48" t="s">
        <v>180</v>
      </c>
      <c r="D44" s="48" t="s">
        <v>63</v>
      </c>
      <c r="E44" s="48" t="s">
        <v>44</v>
      </c>
      <c r="F44" s="48" t="s">
        <v>13</v>
      </c>
      <c r="G44" s="48">
        <v>1</v>
      </c>
      <c r="H44" s="48">
        <v>2040</v>
      </c>
      <c r="I44" s="48">
        <v>2040</v>
      </c>
    </row>
    <row r="45" spans="1:9" x14ac:dyDescent="0.3">
      <c r="A45" s="48" t="s">
        <v>27</v>
      </c>
      <c r="B45" s="48" t="s">
        <v>180</v>
      </c>
      <c r="C45" s="48" t="s">
        <v>180</v>
      </c>
      <c r="D45" s="48" t="s">
        <v>63</v>
      </c>
      <c r="E45" s="48" t="s">
        <v>44</v>
      </c>
      <c r="F45" s="48" t="s">
        <v>13</v>
      </c>
      <c r="G45" s="48">
        <v>1</v>
      </c>
      <c r="H45" s="48">
        <v>2050</v>
      </c>
      <c r="I45" s="48">
        <v>2050</v>
      </c>
    </row>
    <row r="46" spans="1:9" x14ac:dyDescent="0.3">
      <c r="A46" s="48" t="s">
        <v>27</v>
      </c>
      <c r="B46" s="48" t="s">
        <v>180</v>
      </c>
      <c r="C46" s="48" t="s">
        <v>180</v>
      </c>
      <c r="D46" s="48" t="s">
        <v>63</v>
      </c>
      <c r="E46" s="48" t="s">
        <v>44</v>
      </c>
      <c r="F46" s="48" t="s">
        <v>13</v>
      </c>
      <c r="G46" s="48">
        <v>1</v>
      </c>
      <c r="H46" s="48">
        <v>2060</v>
      </c>
      <c r="I46" s="48">
        <v>2060</v>
      </c>
    </row>
    <row r="47" spans="1:9" x14ac:dyDescent="0.3">
      <c r="A47" s="48" t="s">
        <v>27</v>
      </c>
      <c r="B47" s="48" t="s">
        <v>180</v>
      </c>
      <c r="C47" s="48" t="s">
        <v>180</v>
      </c>
      <c r="D47" s="48" t="s">
        <v>63</v>
      </c>
      <c r="E47" s="48" t="s">
        <v>44</v>
      </c>
      <c r="F47" s="48" t="s">
        <v>13</v>
      </c>
      <c r="G47" s="48">
        <v>1</v>
      </c>
      <c r="H47" s="48">
        <v>2070</v>
      </c>
      <c r="I47" s="48">
        <v>2070</v>
      </c>
    </row>
    <row r="48" spans="1:9" x14ac:dyDescent="0.3">
      <c r="A48" s="48" t="s">
        <v>27</v>
      </c>
      <c r="B48" s="48" t="s">
        <v>180</v>
      </c>
      <c r="C48" s="48" t="s">
        <v>180</v>
      </c>
      <c r="D48" s="48" t="s">
        <v>63</v>
      </c>
      <c r="E48" s="48" t="s">
        <v>44</v>
      </c>
      <c r="F48" s="48" t="s">
        <v>13</v>
      </c>
      <c r="G48" s="48">
        <v>1</v>
      </c>
      <c r="H48" s="48">
        <v>2080</v>
      </c>
      <c r="I48" s="48">
        <v>2080</v>
      </c>
    </row>
    <row r="49" spans="1:9" x14ac:dyDescent="0.3">
      <c r="A49" s="48" t="s">
        <v>27</v>
      </c>
      <c r="B49" s="48" t="s">
        <v>180</v>
      </c>
      <c r="C49" s="48" t="s">
        <v>180</v>
      </c>
      <c r="D49" s="48" t="s">
        <v>63</v>
      </c>
      <c r="E49" s="48" t="s">
        <v>44</v>
      </c>
      <c r="F49" s="48" t="s">
        <v>13</v>
      </c>
      <c r="G49" s="48">
        <v>1</v>
      </c>
      <c r="H49" s="48">
        <v>2090</v>
      </c>
      <c r="I49" s="48">
        <v>2090</v>
      </c>
    </row>
    <row r="50" spans="1:9" x14ac:dyDescent="0.3">
      <c r="A50" s="48" t="s">
        <v>27</v>
      </c>
      <c r="B50" s="48" t="s">
        <v>180</v>
      </c>
      <c r="C50" s="48" t="s">
        <v>180</v>
      </c>
      <c r="D50" s="48" t="s">
        <v>63</v>
      </c>
      <c r="E50" s="48" t="s">
        <v>44</v>
      </c>
      <c r="F50" s="48" t="s">
        <v>13</v>
      </c>
      <c r="G50" s="48">
        <v>1</v>
      </c>
      <c r="H50" s="48">
        <v>2100</v>
      </c>
      <c r="I50" s="48">
        <v>2100</v>
      </c>
    </row>
    <row r="51" spans="1:9" x14ac:dyDescent="0.3">
      <c r="A51" s="48" t="s">
        <v>27</v>
      </c>
      <c r="B51" s="48" t="s">
        <v>180</v>
      </c>
      <c r="C51" s="48" t="s">
        <v>180</v>
      </c>
      <c r="D51" s="48" t="s">
        <v>63</v>
      </c>
      <c r="E51" s="48" t="s">
        <v>44</v>
      </c>
      <c r="F51" s="48" t="s">
        <v>13</v>
      </c>
      <c r="G51" s="48">
        <v>1</v>
      </c>
      <c r="H51" s="48">
        <v>2110</v>
      </c>
      <c r="I51" s="48">
        <v>2110</v>
      </c>
    </row>
    <row r="52" spans="1:9" x14ac:dyDescent="0.3">
      <c r="A52" s="48" t="s">
        <v>27</v>
      </c>
      <c r="B52" s="48" t="s">
        <v>180</v>
      </c>
      <c r="C52" s="48" t="s">
        <v>180</v>
      </c>
      <c r="D52" s="48" t="s">
        <v>63</v>
      </c>
      <c r="E52" s="48" t="s">
        <v>45</v>
      </c>
      <c r="F52" s="48" t="s">
        <v>13</v>
      </c>
      <c r="G52" s="48">
        <v>1</v>
      </c>
      <c r="H52" s="48">
        <v>2020</v>
      </c>
      <c r="I52" s="48">
        <v>2020</v>
      </c>
    </row>
    <row r="53" spans="1:9" x14ac:dyDescent="0.3">
      <c r="A53" s="48" t="s">
        <v>27</v>
      </c>
      <c r="B53" s="48" t="s">
        <v>180</v>
      </c>
      <c r="C53" s="48" t="s">
        <v>180</v>
      </c>
      <c r="D53" s="48" t="s">
        <v>63</v>
      </c>
      <c r="E53" s="48" t="s">
        <v>45</v>
      </c>
      <c r="F53" s="48" t="s">
        <v>13</v>
      </c>
      <c r="G53" s="48">
        <v>1</v>
      </c>
      <c r="H53" s="48">
        <v>2030</v>
      </c>
      <c r="I53" s="48">
        <v>2030</v>
      </c>
    </row>
    <row r="54" spans="1:9" x14ac:dyDescent="0.3">
      <c r="A54" s="48" t="s">
        <v>27</v>
      </c>
      <c r="B54" s="48" t="s">
        <v>180</v>
      </c>
      <c r="C54" s="48" t="s">
        <v>180</v>
      </c>
      <c r="D54" s="48" t="s">
        <v>63</v>
      </c>
      <c r="E54" s="48" t="s">
        <v>45</v>
      </c>
      <c r="F54" s="48" t="s">
        <v>13</v>
      </c>
      <c r="G54" s="48">
        <v>1</v>
      </c>
      <c r="H54" s="48">
        <v>2040</v>
      </c>
      <c r="I54" s="48">
        <v>2040</v>
      </c>
    </row>
    <row r="55" spans="1:9" x14ac:dyDescent="0.3">
      <c r="A55" s="48" t="s">
        <v>27</v>
      </c>
      <c r="B55" s="48" t="s">
        <v>180</v>
      </c>
      <c r="C55" s="48" t="s">
        <v>180</v>
      </c>
      <c r="D55" s="48" t="s">
        <v>63</v>
      </c>
      <c r="E55" s="48" t="s">
        <v>45</v>
      </c>
      <c r="F55" s="48" t="s">
        <v>13</v>
      </c>
      <c r="G55" s="48">
        <v>1</v>
      </c>
      <c r="H55" s="48">
        <v>2050</v>
      </c>
      <c r="I55" s="48">
        <v>2050</v>
      </c>
    </row>
    <row r="56" spans="1:9" x14ac:dyDescent="0.3">
      <c r="A56" s="48" t="s">
        <v>27</v>
      </c>
      <c r="B56" s="48" t="s">
        <v>180</v>
      </c>
      <c r="C56" s="48" t="s">
        <v>180</v>
      </c>
      <c r="D56" s="48" t="s">
        <v>63</v>
      </c>
      <c r="E56" s="48" t="s">
        <v>45</v>
      </c>
      <c r="F56" s="48" t="s">
        <v>13</v>
      </c>
      <c r="G56" s="48">
        <v>1</v>
      </c>
      <c r="H56" s="48">
        <v>2060</v>
      </c>
      <c r="I56" s="48">
        <v>2060</v>
      </c>
    </row>
    <row r="57" spans="1:9" x14ac:dyDescent="0.3">
      <c r="A57" s="48" t="s">
        <v>27</v>
      </c>
      <c r="B57" s="48" t="s">
        <v>180</v>
      </c>
      <c r="C57" s="48" t="s">
        <v>180</v>
      </c>
      <c r="D57" s="48" t="s">
        <v>63</v>
      </c>
      <c r="E57" s="48" t="s">
        <v>45</v>
      </c>
      <c r="F57" s="48" t="s">
        <v>13</v>
      </c>
      <c r="G57" s="48">
        <v>1</v>
      </c>
      <c r="H57" s="48">
        <v>2070</v>
      </c>
      <c r="I57" s="48">
        <v>2070</v>
      </c>
    </row>
    <row r="58" spans="1:9" x14ac:dyDescent="0.3">
      <c r="A58" s="48" t="s">
        <v>27</v>
      </c>
      <c r="B58" s="48" t="s">
        <v>180</v>
      </c>
      <c r="C58" s="48" t="s">
        <v>180</v>
      </c>
      <c r="D58" s="48" t="s">
        <v>63</v>
      </c>
      <c r="E58" s="48" t="s">
        <v>45</v>
      </c>
      <c r="F58" s="48" t="s">
        <v>13</v>
      </c>
      <c r="G58" s="48">
        <v>1</v>
      </c>
      <c r="H58" s="48">
        <v>2080</v>
      </c>
      <c r="I58" s="48">
        <v>2080</v>
      </c>
    </row>
    <row r="59" spans="1:9" x14ac:dyDescent="0.3">
      <c r="A59" s="48" t="s">
        <v>27</v>
      </c>
      <c r="B59" s="48" t="s">
        <v>180</v>
      </c>
      <c r="C59" s="48" t="s">
        <v>180</v>
      </c>
      <c r="D59" s="48" t="s">
        <v>63</v>
      </c>
      <c r="E59" s="48" t="s">
        <v>45</v>
      </c>
      <c r="F59" s="48" t="s">
        <v>13</v>
      </c>
      <c r="G59" s="48">
        <v>1</v>
      </c>
      <c r="H59" s="48">
        <v>2090</v>
      </c>
      <c r="I59" s="48">
        <v>2090</v>
      </c>
    </row>
    <row r="60" spans="1:9" x14ac:dyDescent="0.3">
      <c r="A60" s="48" t="s">
        <v>27</v>
      </c>
      <c r="B60" s="48" t="s">
        <v>180</v>
      </c>
      <c r="C60" s="48" t="s">
        <v>180</v>
      </c>
      <c r="D60" s="48" t="s">
        <v>63</v>
      </c>
      <c r="E60" s="48" t="s">
        <v>45</v>
      </c>
      <c r="F60" s="48" t="s">
        <v>13</v>
      </c>
      <c r="G60" s="48">
        <v>1</v>
      </c>
      <c r="H60" s="48">
        <v>2100</v>
      </c>
      <c r="I60" s="48">
        <v>2100</v>
      </c>
    </row>
    <row r="61" spans="1:9" x14ac:dyDescent="0.3">
      <c r="A61" s="48" t="s">
        <v>27</v>
      </c>
      <c r="B61" s="48" t="s">
        <v>180</v>
      </c>
      <c r="C61" s="48" t="s">
        <v>180</v>
      </c>
      <c r="D61" s="48" t="s">
        <v>63</v>
      </c>
      <c r="E61" s="48" t="s">
        <v>45</v>
      </c>
      <c r="F61" s="48" t="s">
        <v>13</v>
      </c>
      <c r="G61" s="48">
        <v>1</v>
      </c>
      <c r="H61" s="48">
        <v>2110</v>
      </c>
      <c r="I61" s="48">
        <v>2110</v>
      </c>
    </row>
    <row r="62" spans="1:9" x14ac:dyDescent="0.3">
      <c r="A62" s="48" t="s">
        <v>27</v>
      </c>
      <c r="B62" s="48" t="s">
        <v>180</v>
      </c>
      <c r="C62" s="48" t="s">
        <v>180</v>
      </c>
      <c r="D62" s="48" t="s">
        <v>63</v>
      </c>
      <c r="E62" s="48" t="s">
        <v>48</v>
      </c>
      <c r="F62" s="48" t="s">
        <v>13</v>
      </c>
      <c r="G62" s="48">
        <v>1</v>
      </c>
      <c r="H62" s="48">
        <v>2020</v>
      </c>
      <c r="I62" s="48">
        <v>2020</v>
      </c>
    </row>
    <row r="63" spans="1:9" x14ac:dyDescent="0.3">
      <c r="A63" s="48" t="s">
        <v>27</v>
      </c>
      <c r="B63" s="48" t="s">
        <v>180</v>
      </c>
      <c r="C63" s="48" t="s">
        <v>180</v>
      </c>
      <c r="D63" s="48" t="s">
        <v>63</v>
      </c>
      <c r="E63" s="48" t="s">
        <v>48</v>
      </c>
      <c r="F63" s="48" t="s">
        <v>13</v>
      </c>
      <c r="G63" s="48">
        <v>1</v>
      </c>
      <c r="H63" s="48">
        <v>2030</v>
      </c>
      <c r="I63" s="48">
        <v>2030</v>
      </c>
    </row>
    <row r="64" spans="1:9" x14ac:dyDescent="0.3">
      <c r="A64" s="48" t="s">
        <v>27</v>
      </c>
      <c r="B64" s="48" t="s">
        <v>180</v>
      </c>
      <c r="C64" s="48" t="s">
        <v>180</v>
      </c>
      <c r="D64" s="48" t="s">
        <v>63</v>
      </c>
      <c r="E64" s="48" t="s">
        <v>48</v>
      </c>
      <c r="F64" s="48" t="s">
        <v>13</v>
      </c>
      <c r="G64" s="48">
        <v>1</v>
      </c>
      <c r="H64" s="48">
        <v>2040</v>
      </c>
      <c r="I64" s="48">
        <v>2040</v>
      </c>
    </row>
    <row r="65" spans="1:9" x14ac:dyDescent="0.3">
      <c r="A65" s="48" t="s">
        <v>27</v>
      </c>
      <c r="B65" s="48" t="s">
        <v>180</v>
      </c>
      <c r="C65" s="48" t="s">
        <v>180</v>
      </c>
      <c r="D65" s="48" t="s">
        <v>63</v>
      </c>
      <c r="E65" s="48" t="s">
        <v>48</v>
      </c>
      <c r="F65" s="48" t="s">
        <v>13</v>
      </c>
      <c r="G65" s="48">
        <v>1</v>
      </c>
      <c r="H65" s="48">
        <v>2050</v>
      </c>
      <c r="I65" s="48">
        <v>2050</v>
      </c>
    </row>
    <row r="66" spans="1:9" x14ac:dyDescent="0.3">
      <c r="A66" s="48" t="s">
        <v>27</v>
      </c>
      <c r="B66" s="48" t="s">
        <v>180</v>
      </c>
      <c r="C66" s="48" t="s">
        <v>180</v>
      </c>
      <c r="D66" s="48" t="s">
        <v>63</v>
      </c>
      <c r="E66" s="48" t="s">
        <v>48</v>
      </c>
      <c r="F66" s="48" t="s">
        <v>13</v>
      </c>
      <c r="G66" s="48">
        <v>1</v>
      </c>
      <c r="H66" s="48">
        <v>2060</v>
      </c>
      <c r="I66" s="48">
        <v>2060</v>
      </c>
    </row>
    <row r="67" spans="1:9" x14ac:dyDescent="0.3">
      <c r="A67" s="48" t="s">
        <v>27</v>
      </c>
      <c r="B67" s="48" t="s">
        <v>180</v>
      </c>
      <c r="C67" s="48" t="s">
        <v>180</v>
      </c>
      <c r="D67" s="48" t="s">
        <v>63</v>
      </c>
      <c r="E67" s="48" t="s">
        <v>48</v>
      </c>
      <c r="F67" s="48" t="s">
        <v>13</v>
      </c>
      <c r="G67" s="48">
        <v>1</v>
      </c>
      <c r="H67" s="48">
        <v>2070</v>
      </c>
      <c r="I67" s="48">
        <v>2070</v>
      </c>
    </row>
    <row r="68" spans="1:9" x14ac:dyDescent="0.3">
      <c r="A68" s="48" t="s">
        <v>27</v>
      </c>
      <c r="B68" s="48" t="s">
        <v>180</v>
      </c>
      <c r="C68" s="48" t="s">
        <v>180</v>
      </c>
      <c r="D68" s="48" t="s">
        <v>63</v>
      </c>
      <c r="E68" s="48" t="s">
        <v>48</v>
      </c>
      <c r="F68" s="48" t="s">
        <v>13</v>
      </c>
      <c r="G68" s="48">
        <v>1</v>
      </c>
      <c r="H68" s="48">
        <v>2080</v>
      </c>
      <c r="I68" s="48">
        <v>2080</v>
      </c>
    </row>
    <row r="69" spans="1:9" x14ac:dyDescent="0.3">
      <c r="A69" s="48" t="s">
        <v>27</v>
      </c>
      <c r="B69" s="48" t="s">
        <v>180</v>
      </c>
      <c r="C69" s="48" t="s">
        <v>180</v>
      </c>
      <c r="D69" s="48" t="s">
        <v>63</v>
      </c>
      <c r="E69" s="48" t="s">
        <v>48</v>
      </c>
      <c r="F69" s="48" t="s">
        <v>13</v>
      </c>
      <c r="G69" s="48">
        <v>1</v>
      </c>
      <c r="H69" s="48">
        <v>2090</v>
      </c>
      <c r="I69" s="48">
        <v>2090</v>
      </c>
    </row>
    <row r="70" spans="1:9" x14ac:dyDescent="0.3">
      <c r="A70" s="48" t="s">
        <v>27</v>
      </c>
      <c r="B70" s="48" t="s">
        <v>180</v>
      </c>
      <c r="C70" s="48" t="s">
        <v>180</v>
      </c>
      <c r="D70" s="48" t="s">
        <v>63</v>
      </c>
      <c r="E70" s="48" t="s">
        <v>48</v>
      </c>
      <c r="F70" s="48" t="s">
        <v>13</v>
      </c>
      <c r="G70" s="48">
        <v>1</v>
      </c>
      <c r="H70" s="48">
        <v>2100</v>
      </c>
      <c r="I70" s="48">
        <v>2100</v>
      </c>
    </row>
    <row r="71" spans="1:9" x14ac:dyDescent="0.3">
      <c r="A71" s="48" t="s">
        <v>27</v>
      </c>
      <c r="B71" s="48" t="s">
        <v>180</v>
      </c>
      <c r="C71" s="48" t="s">
        <v>180</v>
      </c>
      <c r="D71" s="48" t="s">
        <v>63</v>
      </c>
      <c r="E71" s="48" t="s">
        <v>48</v>
      </c>
      <c r="F71" s="48" t="s">
        <v>13</v>
      </c>
      <c r="G71" s="48">
        <v>1</v>
      </c>
      <c r="H71" s="48">
        <v>2110</v>
      </c>
      <c r="I71" s="48">
        <v>2110</v>
      </c>
    </row>
    <row r="72" spans="1:9" x14ac:dyDescent="0.3">
      <c r="A72" s="48" t="s">
        <v>27</v>
      </c>
      <c r="B72" s="48" t="s">
        <v>180</v>
      </c>
      <c r="C72" s="48" t="s">
        <v>180</v>
      </c>
      <c r="D72" s="48" t="s">
        <v>63</v>
      </c>
      <c r="E72" s="48" t="s">
        <v>64</v>
      </c>
      <c r="F72" s="48" t="s">
        <v>13</v>
      </c>
      <c r="G72" s="48">
        <v>-1</v>
      </c>
      <c r="H72" s="48">
        <v>2020</v>
      </c>
      <c r="I72" s="48">
        <v>2020</v>
      </c>
    </row>
    <row r="73" spans="1:9" x14ac:dyDescent="0.3">
      <c r="A73" s="48" t="s">
        <v>27</v>
      </c>
      <c r="B73" s="48" t="s">
        <v>180</v>
      </c>
      <c r="C73" s="48" t="s">
        <v>180</v>
      </c>
      <c r="D73" s="48" t="s">
        <v>63</v>
      </c>
      <c r="E73" s="48" t="s">
        <v>64</v>
      </c>
      <c r="F73" s="48" t="s">
        <v>13</v>
      </c>
      <c r="G73" s="48">
        <v>-1</v>
      </c>
      <c r="H73" s="48">
        <v>2030</v>
      </c>
      <c r="I73" s="48">
        <v>2030</v>
      </c>
    </row>
    <row r="74" spans="1:9" x14ac:dyDescent="0.3">
      <c r="A74" s="48" t="s">
        <v>27</v>
      </c>
      <c r="B74" s="48" t="s">
        <v>180</v>
      </c>
      <c r="C74" s="48" t="s">
        <v>180</v>
      </c>
      <c r="D74" s="48" t="s">
        <v>63</v>
      </c>
      <c r="E74" s="48" t="s">
        <v>64</v>
      </c>
      <c r="F74" s="48" t="s">
        <v>13</v>
      </c>
      <c r="G74" s="48">
        <v>-1</v>
      </c>
      <c r="H74" s="48">
        <v>2040</v>
      </c>
      <c r="I74" s="48">
        <v>2040</v>
      </c>
    </row>
    <row r="75" spans="1:9" x14ac:dyDescent="0.3">
      <c r="A75" s="48" t="s">
        <v>27</v>
      </c>
      <c r="B75" s="48" t="s">
        <v>180</v>
      </c>
      <c r="C75" s="48" t="s">
        <v>180</v>
      </c>
      <c r="D75" s="48" t="s">
        <v>63</v>
      </c>
      <c r="E75" s="48" t="s">
        <v>64</v>
      </c>
      <c r="F75" s="48" t="s">
        <v>13</v>
      </c>
      <c r="G75" s="48">
        <v>-1</v>
      </c>
      <c r="H75" s="48">
        <v>2050</v>
      </c>
      <c r="I75" s="48">
        <v>2050</v>
      </c>
    </row>
    <row r="76" spans="1:9" x14ac:dyDescent="0.3">
      <c r="A76" s="48" t="s">
        <v>27</v>
      </c>
      <c r="B76" s="48" t="s">
        <v>180</v>
      </c>
      <c r="C76" s="48" t="s">
        <v>180</v>
      </c>
      <c r="D76" s="48" t="s">
        <v>63</v>
      </c>
      <c r="E76" s="48" t="s">
        <v>64</v>
      </c>
      <c r="F76" s="48" t="s">
        <v>13</v>
      </c>
      <c r="G76" s="48">
        <v>-1</v>
      </c>
      <c r="H76" s="48">
        <v>2060</v>
      </c>
      <c r="I76" s="48">
        <v>2060</v>
      </c>
    </row>
    <row r="77" spans="1:9" x14ac:dyDescent="0.3">
      <c r="A77" s="48" t="s">
        <v>27</v>
      </c>
      <c r="B77" s="48" t="s">
        <v>180</v>
      </c>
      <c r="C77" s="48" t="s">
        <v>180</v>
      </c>
      <c r="D77" s="48" t="s">
        <v>63</v>
      </c>
      <c r="E77" s="48" t="s">
        <v>64</v>
      </c>
      <c r="F77" s="48" t="s">
        <v>13</v>
      </c>
      <c r="G77" s="48">
        <v>-1</v>
      </c>
      <c r="H77" s="48">
        <v>2070</v>
      </c>
      <c r="I77" s="48">
        <v>2070</v>
      </c>
    </row>
    <row r="78" spans="1:9" x14ac:dyDescent="0.3">
      <c r="A78" s="48" t="s">
        <v>27</v>
      </c>
      <c r="B78" s="48" t="s">
        <v>180</v>
      </c>
      <c r="C78" s="48" t="s">
        <v>180</v>
      </c>
      <c r="D78" s="48" t="s">
        <v>63</v>
      </c>
      <c r="E78" s="48" t="s">
        <v>64</v>
      </c>
      <c r="F78" s="48" t="s">
        <v>13</v>
      </c>
      <c r="G78" s="48">
        <v>-1</v>
      </c>
      <c r="H78" s="48">
        <v>2080</v>
      </c>
      <c r="I78" s="48">
        <v>2080</v>
      </c>
    </row>
    <row r="79" spans="1:9" x14ac:dyDescent="0.3">
      <c r="A79" s="48" t="s">
        <v>27</v>
      </c>
      <c r="B79" s="48" t="s">
        <v>180</v>
      </c>
      <c r="C79" s="48" t="s">
        <v>180</v>
      </c>
      <c r="D79" s="48" t="s">
        <v>63</v>
      </c>
      <c r="E79" s="48" t="s">
        <v>64</v>
      </c>
      <c r="F79" s="48" t="s">
        <v>13</v>
      </c>
      <c r="G79" s="48">
        <v>-1</v>
      </c>
      <c r="H79" s="48">
        <v>2090</v>
      </c>
      <c r="I79" s="48">
        <v>2090</v>
      </c>
    </row>
    <row r="80" spans="1:9" x14ac:dyDescent="0.3">
      <c r="A80" s="48" t="s">
        <v>27</v>
      </c>
      <c r="B80" s="48" t="s">
        <v>180</v>
      </c>
      <c r="C80" s="48" t="s">
        <v>180</v>
      </c>
      <c r="D80" s="48" t="s">
        <v>63</v>
      </c>
      <c r="E80" s="48" t="s">
        <v>64</v>
      </c>
      <c r="F80" s="48" t="s">
        <v>13</v>
      </c>
      <c r="G80" s="48">
        <v>-1</v>
      </c>
      <c r="H80" s="48">
        <v>2100</v>
      </c>
      <c r="I80" s="48">
        <v>2100</v>
      </c>
    </row>
    <row r="81" spans="1:9" x14ac:dyDescent="0.3">
      <c r="A81" s="48" t="s">
        <v>27</v>
      </c>
      <c r="B81" s="48" t="s">
        <v>180</v>
      </c>
      <c r="C81" s="48" t="s">
        <v>180</v>
      </c>
      <c r="D81" s="48" t="s">
        <v>63</v>
      </c>
      <c r="E81" s="48" t="s">
        <v>64</v>
      </c>
      <c r="F81" s="48" t="s">
        <v>13</v>
      </c>
      <c r="G81" s="48">
        <v>-1</v>
      </c>
      <c r="H81" s="48">
        <v>2110</v>
      </c>
      <c r="I81" s="48">
        <v>2110</v>
      </c>
    </row>
    <row r="82" spans="1:9" x14ac:dyDescent="0.3">
      <c r="A82" s="49" t="s">
        <v>27</v>
      </c>
      <c r="B82" s="49" t="s">
        <v>180</v>
      </c>
      <c r="C82" s="49" t="s">
        <v>180</v>
      </c>
      <c r="D82" s="49" t="s">
        <v>121</v>
      </c>
      <c r="E82" s="49" t="s">
        <v>38</v>
      </c>
      <c r="F82" s="49" t="s">
        <v>13</v>
      </c>
      <c r="G82" s="49">
        <v>0.5</v>
      </c>
      <c r="H82" s="49">
        <v>2020</v>
      </c>
      <c r="I82" s="49">
        <v>2020</v>
      </c>
    </row>
    <row r="83" spans="1:9" x14ac:dyDescent="0.3">
      <c r="A83" s="49" t="s">
        <v>27</v>
      </c>
      <c r="B83" s="49" t="s">
        <v>180</v>
      </c>
      <c r="C83" s="49" t="s">
        <v>180</v>
      </c>
      <c r="D83" s="49" t="s">
        <v>121</v>
      </c>
      <c r="E83" s="49" t="s">
        <v>38</v>
      </c>
      <c r="F83" s="49" t="s">
        <v>13</v>
      </c>
      <c r="G83" s="49">
        <v>0.5</v>
      </c>
      <c r="H83" s="49">
        <v>2030</v>
      </c>
      <c r="I83" s="49">
        <v>2030</v>
      </c>
    </row>
    <row r="84" spans="1:9" x14ac:dyDescent="0.3">
      <c r="A84" s="49" t="s">
        <v>27</v>
      </c>
      <c r="B84" s="49" t="s">
        <v>180</v>
      </c>
      <c r="C84" s="49" t="s">
        <v>180</v>
      </c>
      <c r="D84" s="49" t="s">
        <v>121</v>
      </c>
      <c r="E84" s="49" t="s">
        <v>38</v>
      </c>
      <c r="F84" s="49" t="s">
        <v>13</v>
      </c>
      <c r="G84" s="49">
        <v>0.5</v>
      </c>
      <c r="H84" s="49">
        <v>2040</v>
      </c>
      <c r="I84" s="49">
        <v>2040</v>
      </c>
    </row>
    <row r="85" spans="1:9" x14ac:dyDescent="0.3">
      <c r="A85" s="49" t="s">
        <v>27</v>
      </c>
      <c r="B85" s="49" t="s">
        <v>180</v>
      </c>
      <c r="C85" s="49" t="s">
        <v>180</v>
      </c>
      <c r="D85" s="49" t="s">
        <v>121</v>
      </c>
      <c r="E85" s="49" t="s">
        <v>38</v>
      </c>
      <c r="F85" s="49" t="s">
        <v>13</v>
      </c>
      <c r="G85" s="49">
        <v>0.5</v>
      </c>
      <c r="H85" s="49">
        <v>2050</v>
      </c>
      <c r="I85" s="49">
        <v>2050</v>
      </c>
    </row>
    <row r="86" spans="1:9" x14ac:dyDescent="0.3">
      <c r="A86" s="49" t="s">
        <v>27</v>
      </c>
      <c r="B86" s="49" t="s">
        <v>180</v>
      </c>
      <c r="C86" s="49" t="s">
        <v>180</v>
      </c>
      <c r="D86" s="49" t="s">
        <v>121</v>
      </c>
      <c r="E86" s="49" t="s">
        <v>38</v>
      </c>
      <c r="F86" s="49" t="s">
        <v>13</v>
      </c>
      <c r="G86" s="49">
        <v>0.5</v>
      </c>
      <c r="H86" s="49">
        <v>2060</v>
      </c>
      <c r="I86" s="49">
        <v>2060</v>
      </c>
    </row>
    <row r="87" spans="1:9" x14ac:dyDescent="0.3">
      <c r="A87" s="49" t="s">
        <v>27</v>
      </c>
      <c r="B87" s="49" t="s">
        <v>180</v>
      </c>
      <c r="C87" s="49" t="s">
        <v>180</v>
      </c>
      <c r="D87" s="49" t="s">
        <v>121</v>
      </c>
      <c r="E87" s="49" t="s">
        <v>38</v>
      </c>
      <c r="F87" s="49" t="s">
        <v>13</v>
      </c>
      <c r="G87" s="49">
        <v>0.5</v>
      </c>
      <c r="H87" s="49">
        <v>2070</v>
      </c>
      <c r="I87" s="49">
        <v>2070</v>
      </c>
    </row>
    <row r="88" spans="1:9" x14ac:dyDescent="0.3">
      <c r="A88" s="49" t="s">
        <v>27</v>
      </c>
      <c r="B88" s="49" t="s">
        <v>180</v>
      </c>
      <c r="C88" s="49" t="s">
        <v>180</v>
      </c>
      <c r="D88" s="49" t="s">
        <v>121</v>
      </c>
      <c r="E88" s="49" t="s">
        <v>38</v>
      </c>
      <c r="F88" s="49" t="s">
        <v>13</v>
      </c>
      <c r="G88" s="49">
        <v>0.5</v>
      </c>
      <c r="H88" s="49">
        <v>2080</v>
      </c>
      <c r="I88" s="49">
        <v>2080</v>
      </c>
    </row>
    <row r="89" spans="1:9" x14ac:dyDescent="0.3">
      <c r="A89" s="49" t="s">
        <v>27</v>
      </c>
      <c r="B89" s="49" t="s">
        <v>180</v>
      </c>
      <c r="C89" s="49" t="s">
        <v>180</v>
      </c>
      <c r="D89" s="49" t="s">
        <v>121</v>
      </c>
      <c r="E89" s="49" t="s">
        <v>38</v>
      </c>
      <c r="F89" s="49" t="s">
        <v>13</v>
      </c>
      <c r="G89" s="49">
        <v>0.5</v>
      </c>
      <c r="H89" s="49">
        <v>2090</v>
      </c>
      <c r="I89" s="49">
        <v>2090</v>
      </c>
    </row>
    <row r="90" spans="1:9" x14ac:dyDescent="0.3">
      <c r="A90" s="49" t="s">
        <v>27</v>
      </c>
      <c r="B90" s="49" t="s">
        <v>180</v>
      </c>
      <c r="C90" s="49" t="s">
        <v>180</v>
      </c>
      <c r="D90" s="49" t="s">
        <v>121</v>
      </c>
      <c r="E90" s="49" t="s">
        <v>38</v>
      </c>
      <c r="F90" s="49" t="s">
        <v>13</v>
      </c>
      <c r="G90" s="49">
        <v>0.5</v>
      </c>
      <c r="H90" s="49">
        <v>2100</v>
      </c>
      <c r="I90" s="49">
        <v>2100</v>
      </c>
    </row>
    <row r="91" spans="1:9" x14ac:dyDescent="0.3">
      <c r="A91" s="49" t="s">
        <v>27</v>
      </c>
      <c r="B91" s="49" t="s">
        <v>180</v>
      </c>
      <c r="C91" s="49" t="s">
        <v>180</v>
      </c>
      <c r="D91" s="49" t="s">
        <v>121</v>
      </c>
      <c r="E91" s="49" t="s">
        <v>38</v>
      </c>
      <c r="F91" s="49" t="s">
        <v>13</v>
      </c>
      <c r="G91" s="49">
        <v>0.5</v>
      </c>
      <c r="H91" s="49">
        <v>2110</v>
      </c>
      <c r="I91" s="49">
        <v>2110</v>
      </c>
    </row>
    <row r="92" spans="1:9" x14ac:dyDescent="0.3">
      <c r="A92" s="49" t="s">
        <v>27</v>
      </c>
      <c r="B92" s="49" t="s">
        <v>180</v>
      </c>
      <c r="C92" s="49" t="s">
        <v>180</v>
      </c>
      <c r="D92" s="49" t="s">
        <v>121</v>
      </c>
      <c r="E92" s="49" t="s">
        <v>41</v>
      </c>
      <c r="F92" s="49" t="s">
        <v>13</v>
      </c>
      <c r="G92" s="49">
        <v>0.5</v>
      </c>
      <c r="H92" s="49">
        <v>2020</v>
      </c>
      <c r="I92" s="49">
        <v>2020</v>
      </c>
    </row>
    <row r="93" spans="1:9" x14ac:dyDescent="0.3">
      <c r="A93" s="49" t="s">
        <v>27</v>
      </c>
      <c r="B93" s="49" t="s">
        <v>180</v>
      </c>
      <c r="C93" s="49" t="s">
        <v>180</v>
      </c>
      <c r="D93" s="49" t="s">
        <v>121</v>
      </c>
      <c r="E93" s="49" t="s">
        <v>41</v>
      </c>
      <c r="F93" s="49" t="s">
        <v>13</v>
      </c>
      <c r="G93" s="49">
        <v>0.5</v>
      </c>
      <c r="H93" s="49">
        <v>2030</v>
      </c>
      <c r="I93" s="49">
        <v>2030</v>
      </c>
    </row>
    <row r="94" spans="1:9" x14ac:dyDescent="0.3">
      <c r="A94" s="49" t="s">
        <v>27</v>
      </c>
      <c r="B94" s="49" t="s">
        <v>180</v>
      </c>
      <c r="C94" s="49" t="s">
        <v>180</v>
      </c>
      <c r="D94" s="49" t="s">
        <v>121</v>
      </c>
      <c r="E94" s="49" t="s">
        <v>41</v>
      </c>
      <c r="F94" s="49" t="s">
        <v>13</v>
      </c>
      <c r="G94" s="49">
        <v>0.5</v>
      </c>
      <c r="H94" s="49">
        <v>2040</v>
      </c>
      <c r="I94" s="49">
        <v>2040</v>
      </c>
    </row>
    <row r="95" spans="1:9" x14ac:dyDescent="0.3">
      <c r="A95" s="49" t="s">
        <v>27</v>
      </c>
      <c r="B95" s="49" t="s">
        <v>180</v>
      </c>
      <c r="C95" s="49" t="s">
        <v>180</v>
      </c>
      <c r="D95" s="49" t="s">
        <v>121</v>
      </c>
      <c r="E95" s="49" t="s">
        <v>41</v>
      </c>
      <c r="F95" s="49" t="s">
        <v>13</v>
      </c>
      <c r="G95" s="49">
        <v>0.5</v>
      </c>
      <c r="H95" s="49">
        <v>2050</v>
      </c>
      <c r="I95" s="49">
        <v>2050</v>
      </c>
    </row>
    <row r="96" spans="1:9" x14ac:dyDescent="0.3">
      <c r="A96" s="49" t="s">
        <v>27</v>
      </c>
      <c r="B96" s="49" t="s">
        <v>180</v>
      </c>
      <c r="C96" s="49" t="s">
        <v>180</v>
      </c>
      <c r="D96" s="49" t="s">
        <v>121</v>
      </c>
      <c r="E96" s="49" t="s">
        <v>41</v>
      </c>
      <c r="F96" s="49" t="s">
        <v>13</v>
      </c>
      <c r="G96" s="49">
        <v>0.5</v>
      </c>
      <c r="H96" s="49">
        <v>2060</v>
      </c>
      <c r="I96" s="49">
        <v>2060</v>
      </c>
    </row>
    <row r="97" spans="1:9" x14ac:dyDescent="0.3">
      <c r="A97" s="49" t="s">
        <v>27</v>
      </c>
      <c r="B97" s="49" t="s">
        <v>180</v>
      </c>
      <c r="C97" s="49" t="s">
        <v>180</v>
      </c>
      <c r="D97" s="49" t="s">
        <v>121</v>
      </c>
      <c r="E97" s="49" t="s">
        <v>41</v>
      </c>
      <c r="F97" s="49" t="s">
        <v>13</v>
      </c>
      <c r="G97" s="49">
        <v>0.5</v>
      </c>
      <c r="H97" s="49">
        <v>2070</v>
      </c>
      <c r="I97" s="49">
        <v>2070</v>
      </c>
    </row>
    <row r="98" spans="1:9" x14ac:dyDescent="0.3">
      <c r="A98" s="49" t="s">
        <v>27</v>
      </c>
      <c r="B98" s="49" t="s">
        <v>180</v>
      </c>
      <c r="C98" s="49" t="s">
        <v>180</v>
      </c>
      <c r="D98" s="49" t="s">
        <v>121</v>
      </c>
      <c r="E98" s="49" t="s">
        <v>41</v>
      </c>
      <c r="F98" s="49" t="s">
        <v>13</v>
      </c>
      <c r="G98" s="49">
        <v>0.5</v>
      </c>
      <c r="H98" s="49">
        <v>2080</v>
      </c>
      <c r="I98" s="49">
        <v>2080</v>
      </c>
    </row>
    <row r="99" spans="1:9" x14ac:dyDescent="0.3">
      <c r="A99" s="49" t="s">
        <v>27</v>
      </c>
      <c r="B99" s="49" t="s">
        <v>180</v>
      </c>
      <c r="C99" s="49" t="s">
        <v>180</v>
      </c>
      <c r="D99" s="49" t="s">
        <v>121</v>
      </c>
      <c r="E99" s="49" t="s">
        <v>41</v>
      </c>
      <c r="F99" s="49" t="s">
        <v>13</v>
      </c>
      <c r="G99" s="49">
        <v>0.5</v>
      </c>
      <c r="H99" s="49">
        <v>2090</v>
      </c>
      <c r="I99" s="49">
        <v>2090</v>
      </c>
    </row>
    <row r="100" spans="1:9" x14ac:dyDescent="0.3">
      <c r="A100" s="49" t="s">
        <v>27</v>
      </c>
      <c r="B100" s="49" t="s">
        <v>180</v>
      </c>
      <c r="C100" s="49" t="s">
        <v>180</v>
      </c>
      <c r="D100" s="49" t="s">
        <v>121</v>
      </c>
      <c r="E100" s="49" t="s">
        <v>41</v>
      </c>
      <c r="F100" s="49" t="s">
        <v>13</v>
      </c>
      <c r="G100" s="49">
        <v>0.5</v>
      </c>
      <c r="H100" s="49">
        <v>2100</v>
      </c>
      <c r="I100" s="49">
        <v>2100</v>
      </c>
    </row>
    <row r="101" spans="1:9" x14ac:dyDescent="0.3">
      <c r="A101" s="49" t="s">
        <v>27</v>
      </c>
      <c r="B101" s="49" t="s">
        <v>180</v>
      </c>
      <c r="C101" s="49" t="s">
        <v>180</v>
      </c>
      <c r="D101" s="49" t="s">
        <v>121</v>
      </c>
      <c r="E101" s="49" t="s">
        <v>41</v>
      </c>
      <c r="F101" s="49" t="s">
        <v>13</v>
      </c>
      <c r="G101" s="49">
        <v>0.5</v>
      </c>
      <c r="H101" s="49">
        <v>2110</v>
      </c>
      <c r="I101" s="49">
        <v>2110</v>
      </c>
    </row>
    <row r="102" spans="1:9" x14ac:dyDescent="0.3">
      <c r="A102" s="49" t="s">
        <v>27</v>
      </c>
      <c r="B102" s="49" t="s">
        <v>180</v>
      </c>
      <c r="C102" s="49" t="s">
        <v>180</v>
      </c>
      <c r="D102" s="49" t="s">
        <v>121</v>
      </c>
      <c r="E102" s="49" t="s">
        <v>42</v>
      </c>
      <c r="F102" s="49" t="s">
        <v>13</v>
      </c>
      <c r="G102" s="49">
        <v>0.5</v>
      </c>
      <c r="H102" s="49">
        <v>2020</v>
      </c>
      <c r="I102" s="49">
        <v>2020</v>
      </c>
    </row>
    <row r="103" spans="1:9" x14ac:dyDescent="0.3">
      <c r="A103" s="49" t="s">
        <v>27</v>
      </c>
      <c r="B103" s="49" t="s">
        <v>180</v>
      </c>
      <c r="C103" s="49" t="s">
        <v>180</v>
      </c>
      <c r="D103" s="49" t="s">
        <v>121</v>
      </c>
      <c r="E103" s="49" t="s">
        <v>42</v>
      </c>
      <c r="F103" s="49" t="s">
        <v>13</v>
      </c>
      <c r="G103" s="49">
        <v>0.5</v>
      </c>
      <c r="H103" s="49">
        <v>2030</v>
      </c>
      <c r="I103" s="49">
        <v>2030</v>
      </c>
    </row>
    <row r="104" spans="1:9" x14ac:dyDescent="0.3">
      <c r="A104" s="49" t="s">
        <v>27</v>
      </c>
      <c r="B104" s="49" t="s">
        <v>180</v>
      </c>
      <c r="C104" s="49" t="s">
        <v>180</v>
      </c>
      <c r="D104" s="49" t="s">
        <v>121</v>
      </c>
      <c r="E104" s="49" t="s">
        <v>42</v>
      </c>
      <c r="F104" s="49" t="s">
        <v>13</v>
      </c>
      <c r="G104" s="49">
        <v>0.5</v>
      </c>
      <c r="H104" s="49">
        <v>2040</v>
      </c>
      <c r="I104" s="49">
        <v>2040</v>
      </c>
    </row>
    <row r="105" spans="1:9" x14ac:dyDescent="0.3">
      <c r="A105" s="49" t="s">
        <v>27</v>
      </c>
      <c r="B105" s="49" t="s">
        <v>180</v>
      </c>
      <c r="C105" s="49" t="s">
        <v>180</v>
      </c>
      <c r="D105" s="49" t="s">
        <v>121</v>
      </c>
      <c r="E105" s="49" t="s">
        <v>42</v>
      </c>
      <c r="F105" s="49" t="s">
        <v>13</v>
      </c>
      <c r="G105" s="49">
        <v>0.5</v>
      </c>
      <c r="H105" s="49">
        <v>2050</v>
      </c>
      <c r="I105" s="49">
        <v>2050</v>
      </c>
    </row>
    <row r="106" spans="1:9" x14ac:dyDescent="0.3">
      <c r="A106" s="49" t="s">
        <v>27</v>
      </c>
      <c r="B106" s="49" t="s">
        <v>180</v>
      </c>
      <c r="C106" s="49" t="s">
        <v>180</v>
      </c>
      <c r="D106" s="49" t="s">
        <v>121</v>
      </c>
      <c r="E106" s="49" t="s">
        <v>42</v>
      </c>
      <c r="F106" s="49" t="s">
        <v>13</v>
      </c>
      <c r="G106" s="49">
        <v>0.5</v>
      </c>
      <c r="H106" s="49">
        <v>2060</v>
      </c>
      <c r="I106" s="49">
        <v>2060</v>
      </c>
    </row>
    <row r="107" spans="1:9" x14ac:dyDescent="0.3">
      <c r="A107" s="49" t="s">
        <v>27</v>
      </c>
      <c r="B107" s="49" t="s">
        <v>180</v>
      </c>
      <c r="C107" s="49" t="s">
        <v>180</v>
      </c>
      <c r="D107" s="49" t="s">
        <v>121</v>
      </c>
      <c r="E107" s="49" t="s">
        <v>42</v>
      </c>
      <c r="F107" s="49" t="s">
        <v>13</v>
      </c>
      <c r="G107" s="49">
        <v>0.5</v>
      </c>
      <c r="H107" s="49">
        <v>2070</v>
      </c>
      <c r="I107" s="49">
        <v>2070</v>
      </c>
    </row>
    <row r="108" spans="1:9" x14ac:dyDescent="0.3">
      <c r="A108" s="49" t="s">
        <v>27</v>
      </c>
      <c r="B108" s="49" t="s">
        <v>180</v>
      </c>
      <c r="C108" s="49" t="s">
        <v>180</v>
      </c>
      <c r="D108" s="49" t="s">
        <v>121</v>
      </c>
      <c r="E108" s="49" t="s">
        <v>42</v>
      </c>
      <c r="F108" s="49" t="s">
        <v>13</v>
      </c>
      <c r="G108" s="49">
        <v>0.5</v>
      </c>
      <c r="H108" s="49">
        <v>2080</v>
      </c>
      <c r="I108" s="49">
        <v>2080</v>
      </c>
    </row>
    <row r="109" spans="1:9" x14ac:dyDescent="0.3">
      <c r="A109" s="49" t="s">
        <v>27</v>
      </c>
      <c r="B109" s="49" t="s">
        <v>180</v>
      </c>
      <c r="C109" s="49" t="s">
        <v>180</v>
      </c>
      <c r="D109" s="49" t="s">
        <v>121</v>
      </c>
      <c r="E109" s="49" t="s">
        <v>42</v>
      </c>
      <c r="F109" s="49" t="s">
        <v>13</v>
      </c>
      <c r="G109" s="49">
        <v>0.5</v>
      </c>
      <c r="H109" s="49">
        <v>2090</v>
      </c>
      <c r="I109" s="49">
        <v>2090</v>
      </c>
    </row>
    <row r="110" spans="1:9" x14ac:dyDescent="0.3">
      <c r="A110" s="49" t="s">
        <v>27</v>
      </c>
      <c r="B110" s="49" t="s">
        <v>180</v>
      </c>
      <c r="C110" s="49" t="s">
        <v>180</v>
      </c>
      <c r="D110" s="49" t="s">
        <v>121</v>
      </c>
      <c r="E110" s="49" t="s">
        <v>42</v>
      </c>
      <c r="F110" s="49" t="s">
        <v>13</v>
      </c>
      <c r="G110" s="49">
        <v>0.5</v>
      </c>
      <c r="H110" s="49">
        <v>2100</v>
      </c>
      <c r="I110" s="49">
        <v>2100</v>
      </c>
    </row>
    <row r="111" spans="1:9" x14ac:dyDescent="0.3">
      <c r="A111" s="49" t="s">
        <v>27</v>
      </c>
      <c r="B111" s="49" t="s">
        <v>180</v>
      </c>
      <c r="C111" s="49" t="s">
        <v>180</v>
      </c>
      <c r="D111" s="49" t="s">
        <v>121</v>
      </c>
      <c r="E111" s="49" t="s">
        <v>42</v>
      </c>
      <c r="F111" s="49" t="s">
        <v>13</v>
      </c>
      <c r="G111" s="49">
        <v>0.5</v>
      </c>
      <c r="H111" s="49">
        <v>2110</v>
      </c>
      <c r="I111" s="49">
        <v>2110</v>
      </c>
    </row>
    <row r="112" spans="1:9" x14ac:dyDescent="0.3">
      <c r="A112" s="49" t="s">
        <v>27</v>
      </c>
      <c r="B112" s="49" t="s">
        <v>180</v>
      </c>
      <c r="C112" s="49" t="s">
        <v>180</v>
      </c>
      <c r="D112" s="49" t="s">
        <v>121</v>
      </c>
      <c r="E112" s="49" t="s">
        <v>43</v>
      </c>
      <c r="F112" s="49" t="s">
        <v>13</v>
      </c>
      <c r="G112" s="49">
        <v>0.5</v>
      </c>
      <c r="H112" s="49">
        <v>2020</v>
      </c>
      <c r="I112" s="49">
        <v>2020</v>
      </c>
    </row>
    <row r="113" spans="1:9" x14ac:dyDescent="0.3">
      <c r="A113" s="49" t="s">
        <v>27</v>
      </c>
      <c r="B113" s="49" t="s">
        <v>180</v>
      </c>
      <c r="C113" s="49" t="s">
        <v>180</v>
      </c>
      <c r="D113" s="49" t="s">
        <v>121</v>
      </c>
      <c r="E113" s="49" t="s">
        <v>43</v>
      </c>
      <c r="F113" s="49" t="s">
        <v>13</v>
      </c>
      <c r="G113" s="49">
        <v>0.5</v>
      </c>
      <c r="H113" s="49">
        <v>2030</v>
      </c>
      <c r="I113" s="49">
        <v>2030</v>
      </c>
    </row>
    <row r="114" spans="1:9" x14ac:dyDescent="0.3">
      <c r="A114" s="49" t="s">
        <v>27</v>
      </c>
      <c r="B114" s="49" t="s">
        <v>180</v>
      </c>
      <c r="C114" s="49" t="s">
        <v>180</v>
      </c>
      <c r="D114" s="49" t="s">
        <v>121</v>
      </c>
      <c r="E114" s="49" t="s">
        <v>43</v>
      </c>
      <c r="F114" s="49" t="s">
        <v>13</v>
      </c>
      <c r="G114" s="49">
        <v>0.5</v>
      </c>
      <c r="H114" s="49">
        <v>2040</v>
      </c>
      <c r="I114" s="49">
        <v>2040</v>
      </c>
    </row>
    <row r="115" spans="1:9" x14ac:dyDescent="0.3">
      <c r="A115" s="49" t="s">
        <v>27</v>
      </c>
      <c r="B115" s="49" t="s">
        <v>180</v>
      </c>
      <c r="C115" s="49" t="s">
        <v>180</v>
      </c>
      <c r="D115" s="49" t="s">
        <v>121</v>
      </c>
      <c r="E115" s="49" t="s">
        <v>43</v>
      </c>
      <c r="F115" s="49" t="s">
        <v>13</v>
      </c>
      <c r="G115" s="49">
        <v>0.5</v>
      </c>
      <c r="H115" s="49">
        <v>2050</v>
      </c>
      <c r="I115" s="49">
        <v>2050</v>
      </c>
    </row>
    <row r="116" spans="1:9" x14ac:dyDescent="0.3">
      <c r="A116" s="49" t="s">
        <v>27</v>
      </c>
      <c r="B116" s="49" t="s">
        <v>180</v>
      </c>
      <c r="C116" s="49" t="s">
        <v>180</v>
      </c>
      <c r="D116" s="49" t="s">
        <v>121</v>
      </c>
      <c r="E116" s="49" t="s">
        <v>43</v>
      </c>
      <c r="F116" s="49" t="s">
        <v>13</v>
      </c>
      <c r="G116" s="49">
        <v>0.5</v>
      </c>
      <c r="H116" s="49">
        <v>2060</v>
      </c>
      <c r="I116" s="49">
        <v>2060</v>
      </c>
    </row>
    <row r="117" spans="1:9" x14ac:dyDescent="0.3">
      <c r="A117" s="49" t="s">
        <v>27</v>
      </c>
      <c r="B117" s="49" t="s">
        <v>180</v>
      </c>
      <c r="C117" s="49" t="s">
        <v>180</v>
      </c>
      <c r="D117" s="49" t="s">
        <v>121</v>
      </c>
      <c r="E117" s="49" t="s">
        <v>43</v>
      </c>
      <c r="F117" s="49" t="s">
        <v>13</v>
      </c>
      <c r="G117" s="49">
        <v>0.5</v>
      </c>
      <c r="H117" s="49">
        <v>2070</v>
      </c>
      <c r="I117" s="49">
        <v>2070</v>
      </c>
    </row>
    <row r="118" spans="1:9" x14ac:dyDescent="0.3">
      <c r="A118" s="49" t="s">
        <v>27</v>
      </c>
      <c r="B118" s="49" t="s">
        <v>180</v>
      </c>
      <c r="C118" s="49" t="s">
        <v>180</v>
      </c>
      <c r="D118" s="49" t="s">
        <v>121</v>
      </c>
      <c r="E118" s="49" t="s">
        <v>43</v>
      </c>
      <c r="F118" s="49" t="s">
        <v>13</v>
      </c>
      <c r="G118" s="49">
        <v>0.5</v>
      </c>
      <c r="H118" s="49">
        <v>2080</v>
      </c>
      <c r="I118" s="49">
        <v>2080</v>
      </c>
    </row>
    <row r="119" spans="1:9" x14ac:dyDescent="0.3">
      <c r="A119" s="49" t="s">
        <v>27</v>
      </c>
      <c r="B119" s="49" t="s">
        <v>180</v>
      </c>
      <c r="C119" s="49" t="s">
        <v>180</v>
      </c>
      <c r="D119" s="49" t="s">
        <v>121</v>
      </c>
      <c r="E119" s="49" t="s">
        <v>43</v>
      </c>
      <c r="F119" s="49" t="s">
        <v>13</v>
      </c>
      <c r="G119" s="49">
        <v>0.5</v>
      </c>
      <c r="H119" s="49">
        <v>2090</v>
      </c>
      <c r="I119" s="49">
        <v>2090</v>
      </c>
    </row>
    <row r="120" spans="1:9" x14ac:dyDescent="0.3">
      <c r="A120" s="49" t="s">
        <v>27</v>
      </c>
      <c r="B120" s="49" t="s">
        <v>180</v>
      </c>
      <c r="C120" s="49" t="s">
        <v>180</v>
      </c>
      <c r="D120" s="49" t="s">
        <v>121</v>
      </c>
      <c r="E120" s="49" t="s">
        <v>43</v>
      </c>
      <c r="F120" s="49" t="s">
        <v>13</v>
      </c>
      <c r="G120" s="49">
        <v>0.5</v>
      </c>
      <c r="H120" s="49">
        <v>2100</v>
      </c>
      <c r="I120" s="49">
        <v>2100</v>
      </c>
    </row>
    <row r="121" spans="1:9" x14ac:dyDescent="0.3">
      <c r="A121" s="49" t="s">
        <v>27</v>
      </c>
      <c r="B121" s="49" t="s">
        <v>180</v>
      </c>
      <c r="C121" s="49" t="s">
        <v>180</v>
      </c>
      <c r="D121" s="49" t="s">
        <v>121</v>
      </c>
      <c r="E121" s="49" t="s">
        <v>43</v>
      </c>
      <c r="F121" s="49" t="s">
        <v>13</v>
      </c>
      <c r="G121" s="49">
        <v>0.5</v>
      </c>
      <c r="H121" s="49">
        <v>2110</v>
      </c>
      <c r="I121" s="49">
        <v>2110</v>
      </c>
    </row>
    <row r="122" spans="1:9" x14ac:dyDescent="0.3">
      <c r="A122" s="49" t="s">
        <v>27</v>
      </c>
      <c r="B122" s="49" t="s">
        <v>180</v>
      </c>
      <c r="C122" s="49" t="s">
        <v>180</v>
      </c>
      <c r="D122" s="49" t="s">
        <v>121</v>
      </c>
      <c r="E122" s="49" t="s">
        <v>44</v>
      </c>
      <c r="F122" s="49" t="s">
        <v>13</v>
      </c>
      <c r="G122" s="49">
        <v>0.5</v>
      </c>
      <c r="H122" s="49">
        <v>2020</v>
      </c>
      <c r="I122" s="49">
        <v>2020</v>
      </c>
    </row>
    <row r="123" spans="1:9" x14ac:dyDescent="0.3">
      <c r="A123" s="49" t="s">
        <v>27</v>
      </c>
      <c r="B123" s="49" t="s">
        <v>180</v>
      </c>
      <c r="C123" s="49" t="s">
        <v>180</v>
      </c>
      <c r="D123" s="49" t="s">
        <v>121</v>
      </c>
      <c r="E123" s="49" t="s">
        <v>44</v>
      </c>
      <c r="F123" s="49" t="s">
        <v>13</v>
      </c>
      <c r="G123" s="49">
        <v>0.5</v>
      </c>
      <c r="H123" s="49">
        <v>2030</v>
      </c>
      <c r="I123" s="49">
        <v>2030</v>
      </c>
    </row>
    <row r="124" spans="1:9" x14ac:dyDescent="0.3">
      <c r="A124" s="49" t="s">
        <v>27</v>
      </c>
      <c r="B124" s="49" t="s">
        <v>180</v>
      </c>
      <c r="C124" s="49" t="s">
        <v>180</v>
      </c>
      <c r="D124" s="49" t="s">
        <v>121</v>
      </c>
      <c r="E124" s="49" t="s">
        <v>44</v>
      </c>
      <c r="F124" s="49" t="s">
        <v>13</v>
      </c>
      <c r="G124" s="49">
        <v>0.5</v>
      </c>
      <c r="H124" s="49">
        <v>2040</v>
      </c>
      <c r="I124" s="49">
        <v>2040</v>
      </c>
    </row>
    <row r="125" spans="1:9" x14ac:dyDescent="0.3">
      <c r="A125" s="49" t="s">
        <v>27</v>
      </c>
      <c r="B125" s="49" t="s">
        <v>180</v>
      </c>
      <c r="C125" s="49" t="s">
        <v>180</v>
      </c>
      <c r="D125" s="49" t="s">
        <v>121</v>
      </c>
      <c r="E125" s="49" t="s">
        <v>44</v>
      </c>
      <c r="F125" s="49" t="s">
        <v>13</v>
      </c>
      <c r="G125" s="49">
        <v>0.5</v>
      </c>
      <c r="H125" s="49">
        <v>2050</v>
      </c>
      <c r="I125" s="49">
        <v>2050</v>
      </c>
    </row>
    <row r="126" spans="1:9" x14ac:dyDescent="0.3">
      <c r="A126" s="49" t="s">
        <v>27</v>
      </c>
      <c r="B126" s="49" t="s">
        <v>180</v>
      </c>
      <c r="C126" s="49" t="s">
        <v>180</v>
      </c>
      <c r="D126" s="49" t="s">
        <v>121</v>
      </c>
      <c r="E126" s="49" t="s">
        <v>44</v>
      </c>
      <c r="F126" s="49" t="s">
        <v>13</v>
      </c>
      <c r="G126" s="49">
        <v>0.5</v>
      </c>
      <c r="H126" s="49">
        <v>2060</v>
      </c>
      <c r="I126" s="49">
        <v>2060</v>
      </c>
    </row>
    <row r="127" spans="1:9" x14ac:dyDescent="0.3">
      <c r="A127" s="49" t="s">
        <v>27</v>
      </c>
      <c r="B127" s="49" t="s">
        <v>180</v>
      </c>
      <c r="C127" s="49" t="s">
        <v>180</v>
      </c>
      <c r="D127" s="49" t="s">
        <v>121</v>
      </c>
      <c r="E127" s="49" t="s">
        <v>44</v>
      </c>
      <c r="F127" s="49" t="s">
        <v>13</v>
      </c>
      <c r="G127" s="49">
        <v>0.5</v>
      </c>
      <c r="H127" s="49">
        <v>2070</v>
      </c>
      <c r="I127" s="49">
        <v>2070</v>
      </c>
    </row>
    <row r="128" spans="1:9" x14ac:dyDescent="0.3">
      <c r="A128" s="49" t="s">
        <v>27</v>
      </c>
      <c r="B128" s="49" t="s">
        <v>180</v>
      </c>
      <c r="C128" s="49" t="s">
        <v>180</v>
      </c>
      <c r="D128" s="49" t="s">
        <v>121</v>
      </c>
      <c r="E128" s="49" t="s">
        <v>44</v>
      </c>
      <c r="F128" s="49" t="s">
        <v>13</v>
      </c>
      <c r="G128" s="49">
        <v>0.5</v>
      </c>
      <c r="H128" s="49">
        <v>2080</v>
      </c>
      <c r="I128" s="49">
        <v>2080</v>
      </c>
    </row>
    <row r="129" spans="1:9" x14ac:dyDescent="0.3">
      <c r="A129" s="49" t="s">
        <v>27</v>
      </c>
      <c r="B129" s="49" t="s">
        <v>180</v>
      </c>
      <c r="C129" s="49" t="s">
        <v>180</v>
      </c>
      <c r="D129" s="49" t="s">
        <v>121</v>
      </c>
      <c r="E129" s="49" t="s">
        <v>44</v>
      </c>
      <c r="F129" s="49" t="s">
        <v>13</v>
      </c>
      <c r="G129" s="49">
        <v>0.5</v>
      </c>
      <c r="H129" s="49">
        <v>2090</v>
      </c>
      <c r="I129" s="49">
        <v>2090</v>
      </c>
    </row>
    <row r="130" spans="1:9" x14ac:dyDescent="0.3">
      <c r="A130" s="49" t="s">
        <v>27</v>
      </c>
      <c r="B130" s="49" t="s">
        <v>180</v>
      </c>
      <c r="C130" s="49" t="s">
        <v>180</v>
      </c>
      <c r="D130" s="49" t="s">
        <v>121</v>
      </c>
      <c r="E130" s="49" t="s">
        <v>44</v>
      </c>
      <c r="F130" s="49" t="s">
        <v>13</v>
      </c>
      <c r="G130" s="49">
        <v>0.5</v>
      </c>
      <c r="H130" s="49">
        <v>2100</v>
      </c>
      <c r="I130" s="49">
        <v>2100</v>
      </c>
    </row>
    <row r="131" spans="1:9" x14ac:dyDescent="0.3">
      <c r="A131" s="49" t="s">
        <v>27</v>
      </c>
      <c r="B131" s="49" t="s">
        <v>180</v>
      </c>
      <c r="C131" s="49" t="s">
        <v>180</v>
      </c>
      <c r="D131" s="49" t="s">
        <v>121</v>
      </c>
      <c r="E131" s="49" t="s">
        <v>44</v>
      </c>
      <c r="F131" s="49" t="s">
        <v>13</v>
      </c>
      <c r="G131" s="49">
        <v>0.5</v>
      </c>
      <c r="H131" s="49">
        <v>2110</v>
      </c>
      <c r="I131" s="49">
        <v>2110</v>
      </c>
    </row>
    <row r="132" spans="1:9" x14ac:dyDescent="0.3">
      <c r="A132" s="49" t="s">
        <v>27</v>
      </c>
      <c r="B132" s="49" t="s">
        <v>180</v>
      </c>
      <c r="C132" s="49" t="s">
        <v>180</v>
      </c>
      <c r="D132" s="49" t="s">
        <v>121</v>
      </c>
      <c r="E132" s="49" t="s">
        <v>45</v>
      </c>
      <c r="F132" s="49" t="s">
        <v>13</v>
      </c>
      <c r="G132" s="49">
        <v>0.5</v>
      </c>
      <c r="H132" s="49">
        <v>2020</v>
      </c>
      <c r="I132" s="49">
        <v>2020</v>
      </c>
    </row>
    <row r="133" spans="1:9" x14ac:dyDescent="0.3">
      <c r="A133" s="49" t="s">
        <v>27</v>
      </c>
      <c r="B133" s="49" t="s">
        <v>180</v>
      </c>
      <c r="C133" s="49" t="s">
        <v>180</v>
      </c>
      <c r="D133" s="49" t="s">
        <v>121</v>
      </c>
      <c r="E133" s="49" t="s">
        <v>45</v>
      </c>
      <c r="F133" s="49" t="s">
        <v>13</v>
      </c>
      <c r="G133" s="49">
        <v>0.5</v>
      </c>
      <c r="H133" s="49">
        <v>2030</v>
      </c>
      <c r="I133" s="49">
        <v>2030</v>
      </c>
    </row>
    <row r="134" spans="1:9" x14ac:dyDescent="0.3">
      <c r="A134" s="49" t="s">
        <v>27</v>
      </c>
      <c r="B134" s="49" t="s">
        <v>180</v>
      </c>
      <c r="C134" s="49" t="s">
        <v>180</v>
      </c>
      <c r="D134" s="49" t="s">
        <v>121</v>
      </c>
      <c r="E134" s="49" t="s">
        <v>45</v>
      </c>
      <c r="F134" s="49" t="s">
        <v>13</v>
      </c>
      <c r="G134" s="49">
        <v>0.5</v>
      </c>
      <c r="H134" s="49">
        <v>2040</v>
      </c>
      <c r="I134" s="49">
        <v>2040</v>
      </c>
    </row>
    <row r="135" spans="1:9" x14ac:dyDescent="0.3">
      <c r="A135" s="49" t="s">
        <v>27</v>
      </c>
      <c r="B135" s="49" t="s">
        <v>180</v>
      </c>
      <c r="C135" s="49" t="s">
        <v>180</v>
      </c>
      <c r="D135" s="49" t="s">
        <v>121</v>
      </c>
      <c r="E135" s="49" t="s">
        <v>45</v>
      </c>
      <c r="F135" s="49" t="s">
        <v>13</v>
      </c>
      <c r="G135" s="49">
        <v>0.5</v>
      </c>
      <c r="H135" s="49">
        <v>2050</v>
      </c>
      <c r="I135" s="49">
        <v>2050</v>
      </c>
    </row>
    <row r="136" spans="1:9" x14ac:dyDescent="0.3">
      <c r="A136" s="49" t="s">
        <v>27</v>
      </c>
      <c r="B136" s="49" t="s">
        <v>180</v>
      </c>
      <c r="C136" s="49" t="s">
        <v>180</v>
      </c>
      <c r="D136" s="49" t="s">
        <v>121</v>
      </c>
      <c r="E136" s="49" t="s">
        <v>45</v>
      </c>
      <c r="F136" s="49" t="s">
        <v>13</v>
      </c>
      <c r="G136" s="49">
        <v>0.5</v>
      </c>
      <c r="H136" s="49">
        <v>2060</v>
      </c>
      <c r="I136" s="49">
        <v>2060</v>
      </c>
    </row>
    <row r="137" spans="1:9" x14ac:dyDescent="0.3">
      <c r="A137" s="49" t="s">
        <v>27</v>
      </c>
      <c r="B137" s="49" t="s">
        <v>180</v>
      </c>
      <c r="C137" s="49" t="s">
        <v>180</v>
      </c>
      <c r="D137" s="49" t="s">
        <v>121</v>
      </c>
      <c r="E137" s="49" t="s">
        <v>45</v>
      </c>
      <c r="F137" s="49" t="s">
        <v>13</v>
      </c>
      <c r="G137" s="49">
        <v>0.5</v>
      </c>
      <c r="H137" s="49">
        <v>2070</v>
      </c>
      <c r="I137" s="49">
        <v>2070</v>
      </c>
    </row>
    <row r="138" spans="1:9" x14ac:dyDescent="0.3">
      <c r="A138" s="49" t="s">
        <v>27</v>
      </c>
      <c r="B138" s="49" t="s">
        <v>180</v>
      </c>
      <c r="C138" s="49" t="s">
        <v>180</v>
      </c>
      <c r="D138" s="49" t="s">
        <v>121</v>
      </c>
      <c r="E138" s="49" t="s">
        <v>45</v>
      </c>
      <c r="F138" s="49" t="s">
        <v>13</v>
      </c>
      <c r="G138" s="49">
        <v>0.5</v>
      </c>
      <c r="H138" s="49">
        <v>2080</v>
      </c>
      <c r="I138" s="49">
        <v>2080</v>
      </c>
    </row>
    <row r="139" spans="1:9" x14ac:dyDescent="0.3">
      <c r="A139" s="49" t="s">
        <v>27</v>
      </c>
      <c r="B139" s="49" t="s">
        <v>180</v>
      </c>
      <c r="C139" s="49" t="s">
        <v>180</v>
      </c>
      <c r="D139" s="49" t="s">
        <v>121</v>
      </c>
      <c r="E139" s="49" t="s">
        <v>45</v>
      </c>
      <c r="F139" s="49" t="s">
        <v>13</v>
      </c>
      <c r="G139" s="49">
        <v>0.5</v>
      </c>
      <c r="H139" s="49">
        <v>2090</v>
      </c>
      <c r="I139" s="49">
        <v>2090</v>
      </c>
    </row>
    <row r="140" spans="1:9" x14ac:dyDescent="0.3">
      <c r="A140" s="49" t="s">
        <v>27</v>
      </c>
      <c r="B140" s="49" t="s">
        <v>180</v>
      </c>
      <c r="C140" s="49" t="s">
        <v>180</v>
      </c>
      <c r="D140" s="49" t="s">
        <v>121</v>
      </c>
      <c r="E140" s="49" t="s">
        <v>45</v>
      </c>
      <c r="F140" s="49" t="s">
        <v>13</v>
      </c>
      <c r="G140" s="49">
        <v>0.5</v>
      </c>
      <c r="H140" s="49">
        <v>2100</v>
      </c>
      <c r="I140" s="49">
        <v>2100</v>
      </c>
    </row>
    <row r="141" spans="1:9" x14ac:dyDescent="0.3">
      <c r="A141" s="49" t="s">
        <v>27</v>
      </c>
      <c r="B141" s="49" t="s">
        <v>180</v>
      </c>
      <c r="C141" s="49" t="s">
        <v>180</v>
      </c>
      <c r="D141" s="49" t="s">
        <v>121</v>
      </c>
      <c r="E141" s="49" t="s">
        <v>45</v>
      </c>
      <c r="F141" s="49" t="s">
        <v>13</v>
      </c>
      <c r="G141" s="49">
        <v>0.5</v>
      </c>
      <c r="H141" s="49">
        <v>2110</v>
      </c>
      <c r="I141" s="49">
        <v>2110</v>
      </c>
    </row>
    <row r="142" spans="1:9" x14ac:dyDescent="0.3">
      <c r="A142" s="49" t="s">
        <v>27</v>
      </c>
      <c r="B142" s="49" t="s">
        <v>180</v>
      </c>
      <c r="C142" s="49" t="s">
        <v>180</v>
      </c>
      <c r="D142" s="49" t="s">
        <v>121</v>
      </c>
      <c r="E142" s="49" t="s">
        <v>48</v>
      </c>
      <c r="F142" s="49" t="s">
        <v>13</v>
      </c>
      <c r="G142" s="49">
        <v>0.5</v>
      </c>
      <c r="H142" s="49">
        <v>2020</v>
      </c>
      <c r="I142" s="49">
        <v>2020</v>
      </c>
    </row>
    <row r="143" spans="1:9" x14ac:dyDescent="0.3">
      <c r="A143" s="49" t="s">
        <v>27</v>
      </c>
      <c r="B143" s="49" t="s">
        <v>180</v>
      </c>
      <c r="C143" s="49" t="s">
        <v>180</v>
      </c>
      <c r="D143" s="49" t="s">
        <v>121</v>
      </c>
      <c r="E143" s="49" t="s">
        <v>48</v>
      </c>
      <c r="F143" s="49" t="s">
        <v>13</v>
      </c>
      <c r="G143" s="49">
        <v>0.5</v>
      </c>
      <c r="H143" s="49">
        <v>2030</v>
      </c>
      <c r="I143" s="49">
        <v>2030</v>
      </c>
    </row>
    <row r="144" spans="1:9" x14ac:dyDescent="0.3">
      <c r="A144" s="49" t="s">
        <v>27</v>
      </c>
      <c r="B144" s="49" t="s">
        <v>180</v>
      </c>
      <c r="C144" s="49" t="s">
        <v>180</v>
      </c>
      <c r="D144" s="49" t="s">
        <v>121</v>
      </c>
      <c r="E144" s="49" t="s">
        <v>48</v>
      </c>
      <c r="F144" s="49" t="s">
        <v>13</v>
      </c>
      <c r="G144" s="49">
        <v>0.5</v>
      </c>
      <c r="H144" s="49">
        <v>2040</v>
      </c>
      <c r="I144" s="49">
        <v>2040</v>
      </c>
    </row>
    <row r="145" spans="1:9" x14ac:dyDescent="0.3">
      <c r="A145" s="49" t="s">
        <v>27</v>
      </c>
      <c r="B145" s="49" t="s">
        <v>180</v>
      </c>
      <c r="C145" s="49" t="s">
        <v>180</v>
      </c>
      <c r="D145" s="49" t="s">
        <v>121</v>
      </c>
      <c r="E145" s="49" t="s">
        <v>48</v>
      </c>
      <c r="F145" s="49" t="s">
        <v>13</v>
      </c>
      <c r="G145" s="49">
        <v>0.5</v>
      </c>
      <c r="H145" s="49">
        <v>2050</v>
      </c>
      <c r="I145" s="49">
        <v>2050</v>
      </c>
    </row>
    <row r="146" spans="1:9" x14ac:dyDescent="0.3">
      <c r="A146" s="49" t="s">
        <v>27</v>
      </c>
      <c r="B146" s="49" t="s">
        <v>180</v>
      </c>
      <c r="C146" s="49" t="s">
        <v>180</v>
      </c>
      <c r="D146" s="49" t="s">
        <v>121</v>
      </c>
      <c r="E146" s="49" t="s">
        <v>48</v>
      </c>
      <c r="F146" s="49" t="s">
        <v>13</v>
      </c>
      <c r="G146" s="49">
        <v>0.5</v>
      </c>
      <c r="H146" s="49">
        <v>2060</v>
      </c>
      <c r="I146" s="49">
        <v>2060</v>
      </c>
    </row>
    <row r="147" spans="1:9" x14ac:dyDescent="0.3">
      <c r="A147" s="49" t="s">
        <v>27</v>
      </c>
      <c r="B147" s="49" t="s">
        <v>180</v>
      </c>
      <c r="C147" s="49" t="s">
        <v>180</v>
      </c>
      <c r="D147" s="49" t="s">
        <v>121</v>
      </c>
      <c r="E147" s="49" t="s">
        <v>48</v>
      </c>
      <c r="F147" s="49" t="s">
        <v>13</v>
      </c>
      <c r="G147" s="49">
        <v>0.5</v>
      </c>
      <c r="H147" s="49">
        <v>2070</v>
      </c>
      <c r="I147" s="49">
        <v>2070</v>
      </c>
    </row>
    <row r="148" spans="1:9" x14ac:dyDescent="0.3">
      <c r="A148" s="49" t="s">
        <v>27</v>
      </c>
      <c r="B148" s="49" t="s">
        <v>180</v>
      </c>
      <c r="C148" s="49" t="s">
        <v>180</v>
      </c>
      <c r="D148" s="49" t="s">
        <v>121</v>
      </c>
      <c r="E148" s="49" t="s">
        <v>48</v>
      </c>
      <c r="F148" s="49" t="s">
        <v>13</v>
      </c>
      <c r="G148" s="49">
        <v>0.5</v>
      </c>
      <c r="H148" s="49">
        <v>2080</v>
      </c>
      <c r="I148" s="49">
        <v>2080</v>
      </c>
    </row>
    <row r="149" spans="1:9" x14ac:dyDescent="0.3">
      <c r="A149" s="49" t="s">
        <v>27</v>
      </c>
      <c r="B149" s="49" t="s">
        <v>180</v>
      </c>
      <c r="C149" s="49" t="s">
        <v>180</v>
      </c>
      <c r="D149" s="49" t="s">
        <v>121</v>
      </c>
      <c r="E149" s="49" t="s">
        <v>48</v>
      </c>
      <c r="F149" s="49" t="s">
        <v>13</v>
      </c>
      <c r="G149" s="49">
        <v>0.5</v>
      </c>
      <c r="H149" s="49">
        <v>2090</v>
      </c>
      <c r="I149" s="49">
        <v>2090</v>
      </c>
    </row>
    <row r="150" spans="1:9" x14ac:dyDescent="0.3">
      <c r="A150" s="49" t="s">
        <v>27</v>
      </c>
      <c r="B150" s="49" t="s">
        <v>180</v>
      </c>
      <c r="C150" s="49" t="s">
        <v>180</v>
      </c>
      <c r="D150" s="49" t="s">
        <v>121</v>
      </c>
      <c r="E150" s="49" t="s">
        <v>48</v>
      </c>
      <c r="F150" s="49" t="s">
        <v>13</v>
      </c>
      <c r="G150" s="49">
        <v>0.5</v>
      </c>
      <c r="H150" s="49">
        <v>2100</v>
      </c>
      <c r="I150" s="49">
        <v>2100</v>
      </c>
    </row>
    <row r="151" spans="1:9" x14ac:dyDescent="0.3">
      <c r="A151" s="49" t="s">
        <v>27</v>
      </c>
      <c r="B151" s="49" t="s">
        <v>180</v>
      </c>
      <c r="C151" s="49" t="s">
        <v>180</v>
      </c>
      <c r="D151" s="49" t="s">
        <v>121</v>
      </c>
      <c r="E151" s="49" t="s">
        <v>48</v>
      </c>
      <c r="F151" s="49" t="s">
        <v>13</v>
      </c>
      <c r="G151" s="49">
        <v>0.5</v>
      </c>
      <c r="H151" s="49">
        <v>2110</v>
      </c>
      <c r="I151" s="49">
        <v>2110</v>
      </c>
    </row>
  </sheetData>
  <autoFilter ref="A1:I151" xr:uid="{0076143A-F6F1-47BA-9961-9DF8080DD7A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3E5D1-15EF-4DBF-89C6-AB7B6F387AD8}">
  <dimension ref="A1:G11"/>
  <sheetViews>
    <sheetView workbookViewId="0">
      <selection activeCell="F16" sqref="F16"/>
    </sheetView>
  </sheetViews>
  <sheetFormatPr defaultColWidth="8.77734375" defaultRowHeight="14.4" x14ac:dyDescent="0.3"/>
  <cols>
    <col min="2" max="2" width="10.33203125" customWidth="1"/>
  </cols>
  <sheetData>
    <row r="1" spans="1:7" s="9" customFormat="1" x14ac:dyDescent="0.3">
      <c r="A1" s="9" t="s">
        <v>33</v>
      </c>
      <c r="B1" s="9" t="s">
        <v>34</v>
      </c>
      <c r="C1" s="9" t="s">
        <v>21</v>
      </c>
      <c r="D1" s="9" t="s">
        <v>12</v>
      </c>
      <c r="E1" s="9" t="s">
        <v>8</v>
      </c>
      <c r="F1" s="9" t="s">
        <v>9</v>
      </c>
      <c r="G1" s="9" t="s">
        <v>5</v>
      </c>
    </row>
    <row r="2" spans="1:7" x14ac:dyDescent="0.3">
      <c r="A2" t="s">
        <v>53</v>
      </c>
      <c r="B2" t="s">
        <v>51</v>
      </c>
      <c r="C2" t="s">
        <v>180</v>
      </c>
      <c r="D2" t="s">
        <v>5</v>
      </c>
      <c r="E2" t="s">
        <v>143</v>
      </c>
      <c r="F2">
        <v>1.6</v>
      </c>
      <c r="G2">
        <v>2020</v>
      </c>
    </row>
    <row r="3" spans="1:7" x14ac:dyDescent="0.3">
      <c r="A3" t="s">
        <v>53</v>
      </c>
      <c r="B3" t="s">
        <v>51</v>
      </c>
      <c r="C3" t="s">
        <v>180</v>
      </c>
      <c r="D3" t="s">
        <v>5</v>
      </c>
      <c r="E3" t="s">
        <v>143</v>
      </c>
      <c r="F3">
        <v>1.6</v>
      </c>
      <c r="G3">
        <v>2030</v>
      </c>
    </row>
    <row r="4" spans="1:7" x14ac:dyDescent="0.3">
      <c r="A4" t="s">
        <v>53</v>
      </c>
      <c r="B4" t="s">
        <v>51</v>
      </c>
      <c r="C4" t="s">
        <v>180</v>
      </c>
      <c r="D4" t="s">
        <v>5</v>
      </c>
      <c r="E4" t="s">
        <v>143</v>
      </c>
      <c r="F4">
        <v>1.6</v>
      </c>
      <c r="G4">
        <v>2040</v>
      </c>
    </row>
    <row r="5" spans="1:7" x14ac:dyDescent="0.3">
      <c r="A5" t="s">
        <v>53</v>
      </c>
      <c r="B5" t="s">
        <v>51</v>
      </c>
      <c r="C5" t="s">
        <v>180</v>
      </c>
      <c r="D5" t="s">
        <v>5</v>
      </c>
      <c r="E5" t="s">
        <v>143</v>
      </c>
      <c r="F5">
        <v>1.6</v>
      </c>
      <c r="G5">
        <v>2050</v>
      </c>
    </row>
    <row r="6" spans="1:7" x14ac:dyDescent="0.3">
      <c r="A6" t="s">
        <v>53</v>
      </c>
      <c r="B6" t="s">
        <v>51</v>
      </c>
      <c r="C6" t="s">
        <v>180</v>
      </c>
      <c r="D6" t="s">
        <v>5</v>
      </c>
      <c r="E6" t="s">
        <v>143</v>
      </c>
      <c r="F6">
        <v>1.6</v>
      </c>
      <c r="G6">
        <v>2060</v>
      </c>
    </row>
    <row r="7" spans="1:7" x14ac:dyDescent="0.3">
      <c r="A7" t="s">
        <v>53</v>
      </c>
      <c r="B7" t="s">
        <v>51</v>
      </c>
      <c r="C7" t="s">
        <v>180</v>
      </c>
      <c r="D7" t="s">
        <v>5</v>
      </c>
      <c r="E7" t="s">
        <v>143</v>
      </c>
      <c r="F7">
        <v>1.6</v>
      </c>
      <c r="G7">
        <v>2070</v>
      </c>
    </row>
    <row r="8" spans="1:7" x14ac:dyDescent="0.3">
      <c r="A8" t="s">
        <v>53</v>
      </c>
      <c r="B8" t="s">
        <v>51</v>
      </c>
      <c r="C8" t="s">
        <v>180</v>
      </c>
      <c r="D8" t="s">
        <v>5</v>
      </c>
      <c r="E8" t="s">
        <v>143</v>
      </c>
      <c r="F8">
        <v>1.6</v>
      </c>
      <c r="G8">
        <v>2080</v>
      </c>
    </row>
    <row r="9" spans="1:7" x14ac:dyDescent="0.3">
      <c r="A9" t="s">
        <v>53</v>
      </c>
      <c r="B9" t="s">
        <v>51</v>
      </c>
      <c r="C9" t="s">
        <v>180</v>
      </c>
      <c r="D9" t="s">
        <v>5</v>
      </c>
      <c r="E9" t="s">
        <v>143</v>
      </c>
      <c r="F9">
        <v>1.6</v>
      </c>
      <c r="G9">
        <v>2090</v>
      </c>
    </row>
    <row r="10" spans="1:7" x14ac:dyDescent="0.3">
      <c r="A10" t="s">
        <v>53</v>
      </c>
      <c r="B10" t="s">
        <v>51</v>
      </c>
      <c r="C10" t="s">
        <v>180</v>
      </c>
      <c r="D10" t="s">
        <v>5</v>
      </c>
      <c r="E10" t="s">
        <v>143</v>
      </c>
      <c r="F10">
        <v>1.6</v>
      </c>
      <c r="G10">
        <v>2100</v>
      </c>
    </row>
    <row r="11" spans="1:7" x14ac:dyDescent="0.3">
      <c r="A11" t="s">
        <v>53</v>
      </c>
      <c r="B11" t="s">
        <v>51</v>
      </c>
      <c r="C11" t="s">
        <v>180</v>
      </c>
      <c r="D11" t="s">
        <v>5</v>
      </c>
      <c r="E11" t="s">
        <v>143</v>
      </c>
      <c r="F11">
        <v>1.6</v>
      </c>
      <c r="G11">
        <v>2110</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18567-2507-4D90-BE10-783B00DC86CA}">
  <sheetPr filterMode="1"/>
  <dimension ref="A1:E121"/>
  <sheetViews>
    <sheetView workbookViewId="0">
      <selection activeCell="E9" sqref="E9"/>
    </sheetView>
  </sheetViews>
  <sheetFormatPr defaultColWidth="8.77734375" defaultRowHeight="14.4" x14ac:dyDescent="0.3"/>
  <sheetData>
    <row r="1" spans="1:5" x14ac:dyDescent="0.3">
      <c r="A1" s="81" t="s">
        <v>6</v>
      </c>
      <c r="B1" s="81" t="s">
        <v>7</v>
      </c>
      <c r="C1" s="81" t="s">
        <v>8</v>
      </c>
      <c r="D1" s="81" t="s">
        <v>9</v>
      </c>
      <c r="E1" s="81" t="s">
        <v>174</v>
      </c>
    </row>
    <row r="2" spans="1:5" x14ac:dyDescent="0.3">
      <c r="A2" t="s">
        <v>168</v>
      </c>
      <c r="B2" t="s">
        <v>180</v>
      </c>
      <c r="C2" t="s">
        <v>175</v>
      </c>
      <c r="D2">
        <v>0</v>
      </c>
      <c r="E2" t="s">
        <v>184</v>
      </c>
    </row>
    <row r="3" spans="1:5" x14ac:dyDescent="0.3">
      <c r="A3" t="s">
        <v>168</v>
      </c>
      <c r="B3" t="s">
        <v>180</v>
      </c>
      <c r="C3" t="s">
        <v>175</v>
      </c>
      <c r="D3">
        <v>2.0000000000000001E-4</v>
      </c>
      <c r="E3" t="s">
        <v>185</v>
      </c>
    </row>
    <row r="4" spans="1:5" x14ac:dyDescent="0.3">
      <c r="A4" t="s">
        <v>168</v>
      </c>
      <c r="B4" t="s">
        <v>180</v>
      </c>
      <c r="C4" t="s">
        <v>175</v>
      </c>
      <c r="D4">
        <v>2.5279999999999999E-3</v>
      </c>
      <c r="E4" t="s">
        <v>186</v>
      </c>
    </row>
    <row r="5" spans="1:5" x14ac:dyDescent="0.3">
      <c r="A5" t="s">
        <v>168</v>
      </c>
      <c r="B5" t="s">
        <v>180</v>
      </c>
      <c r="C5" t="s">
        <v>175</v>
      </c>
      <c r="D5">
        <v>8.8000000000000014E-4</v>
      </c>
      <c r="E5" t="s">
        <v>176</v>
      </c>
    </row>
    <row r="6" spans="1:5" x14ac:dyDescent="0.3">
      <c r="A6" t="s">
        <v>168</v>
      </c>
      <c r="B6" t="s">
        <v>180</v>
      </c>
      <c r="C6" t="s">
        <v>175</v>
      </c>
      <c r="D6">
        <v>2E-3</v>
      </c>
      <c r="E6" t="s">
        <v>177</v>
      </c>
    </row>
    <row r="7" spans="1:5" x14ac:dyDescent="0.3">
      <c r="A7" t="s">
        <v>168</v>
      </c>
      <c r="B7" t="s">
        <v>180</v>
      </c>
      <c r="C7" t="s">
        <v>175</v>
      </c>
      <c r="D7">
        <v>4.4079999999999996E-3</v>
      </c>
      <c r="E7" t="s">
        <v>178</v>
      </c>
    </row>
    <row r="8" spans="1:5" x14ac:dyDescent="0.3">
      <c r="A8" t="s">
        <v>168</v>
      </c>
      <c r="B8" t="s">
        <v>180</v>
      </c>
      <c r="C8" t="s">
        <v>175</v>
      </c>
      <c r="D8">
        <v>4.7999999999999996E-3</v>
      </c>
      <c r="E8" t="s">
        <v>0</v>
      </c>
    </row>
    <row r="9" spans="1:5" x14ac:dyDescent="0.3">
      <c r="A9" t="s">
        <v>168</v>
      </c>
      <c r="B9" t="s">
        <v>180</v>
      </c>
      <c r="C9" t="s">
        <v>175</v>
      </c>
      <c r="D9">
        <v>1.392E-2</v>
      </c>
      <c r="E9" t="s">
        <v>1</v>
      </c>
    </row>
    <row r="10" spans="1:5" x14ac:dyDescent="0.3">
      <c r="A10" t="s">
        <v>168</v>
      </c>
      <c r="B10" t="s">
        <v>180</v>
      </c>
      <c r="C10" t="s">
        <v>175</v>
      </c>
      <c r="D10">
        <v>2.5999999999999999E-3</v>
      </c>
      <c r="E10" t="s">
        <v>2</v>
      </c>
    </row>
    <row r="11" spans="1:5" x14ac:dyDescent="0.3">
      <c r="A11" t="s">
        <v>168</v>
      </c>
      <c r="B11" t="s">
        <v>180</v>
      </c>
      <c r="C11" t="s">
        <v>175</v>
      </c>
      <c r="D11">
        <v>2.2000000000000001E-3</v>
      </c>
      <c r="E11" t="s">
        <v>3</v>
      </c>
    </row>
    <row r="12" spans="1:5" x14ac:dyDescent="0.3">
      <c r="A12" t="s">
        <v>168</v>
      </c>
      <c r="B12" t="s">
        <v>180</v>
      </c>
      <c r="C12" t="s">
        <v>175</v>
      </c>
      <c r="D12">
        <v>1.25024E-2</v>
      </c>
      <c r="E12" t="s">
        <v>4</v>
      </c>
    </row>
    <row r="13" spans="1:5" x14ac:dyDescent="0.3">
      <c r="A13" t="s">
        <v>168</v>
      </c>
      <c r="B13" t="s">
        <v>180</v>
      </c>
      <c r="C13" t="s">
        <v>175</v>
      </c>
      <c r="D13">
        <v>1.5879999999999998E-2</v>
      </c>
      <c r="E13" t="s">
        <v>179</v>
      </c>
    </row>
    <row r="14" spans="1:5" hidden="1" x14ac:dyDescent="0.3">
      <c r="A14" t="s">
        <v>169</v>
      </c>
      <c r="B14" t="s">
        <v>180</v>
      </c>
      <c r="C14" t="s">
        <v>175</v>
      </c>
      <c r="D14">
        <v>0</v>
      </c>
      <c r="E14" t="s">
        <v>184</v>
      </c>
    </row>
    <row r="15" spans="1:5" hidden="1" x14ac:dyDescent="0.3">
      <c r="A15" t="s">
        <v>169</v>
      </c>
      <c r="B15" t="s">
        <v>180</v>
      </c>
      <c r="C15" t="s">
        <v>175</v>
      </c>
      <c r="D15">
        <v>0</v>
      </c>
      <c r="E15" t="s">
        <v>185</v>
      </c>
    </row>
    <row r="16" spans="1:5" hidden="1" x14ac:dyDescent="0.3">
      <c r="A16" t="s">
        <v>169</v>
      </c>
      <c r="B16" t="s">
        <v>180</v>
      </c>
      <c r="C16" t="s">
        <v>175</v>
      </c>
      <c r="D16">
        <v>0</v>
      </c>
      <c r="E16" t="s">
        <v>186</v>
      </c>
    </row>
    <row r="17" spans="1:5" hidden="1" x14ac:dyDescent="0.3">
      <c r="A17" t="s">
        <v>169</v>
      </c>
      <c r="B17" t="s">
        <v>180</v>
      </c>
      <c r="C17" t="s">
        <v>175</v>
      </c>
      <c r="D17">
        <v>0</v>
      </c>
      <c r="E17" t="s">
        <v>176</v>
      </c>
    </row>
    <row r="18" spans="1:5" hidden="1" x14ac:dyDescent="0.3">
      <c r="A18" t="s">
        <v>169</v>
      </c>
      <c r="B18" t="s">
        <v>180</v>
      </c>
      <c r="C18" t="s">
        <v>175</v>
      </c>
      <c r="D18">
        <v>0</v>
      </c>
      <c r="E18" t="s">
        <v>177</v>
      </c>
    </row>
    <row r="19" spans="1:5" hidden="1" x14ac:dyDescent="0.3">
      <c r="A19" t="s">
        <v>169</v>
      </c>
      <c r="B19" t="s">
        <v>180</v>
      </c>
      <c r="C19" t="s">
        <v>175</v>
      </c>
      <c r="D19">
        <v>0</v>
      </c>
      <c r="E19" t="s">
        <v>178</v>
      </c>
    </row>
    <row r="20" spans="1:5" hidden="1" x14ac:dyDescent="0.3">
      <c r="A20" t="s">
        <v>169</v>
      </c>
      <c r="B20" t="s">
        <v>180</v>
      </c>
      <c r="C20" t="s">
        <v>175</v>
      </c>
      <c r="D20">
        <v>0</v>
      </c>
      <c r="E20" t="s">
        <v>0</v>
      </c>
    </row>
    <row r="21" spans="1:5" hidden="1" x14ac:dyDescent="0.3">
      <c r="A21" t="s">
        <v>169</v>
      </c>
      <c r="B21" t="s">
        <v>180</v>
      </c>
      <c r="C21" t="s">
        <v>175</v>
      </c>
      <c r="D21">
        <v>1.6E-2</v>
      </c>
      <c r="E21" t="s">
        <v>1</v>
      </c>
    </row>
    <row r="22" spans="1:5" hidden="1" x14ac:dyDescent="0.3">
      <c r="A22" t="s">
        <v>169</v>
      </c>
      <c r="B22" t="s">
        <v>180</v>
      </c>
      <c r="C22" t="s">
        <v>175</v>
      </c>
      <c r="D22">
        <v>8.0000000000000002E-3</v>
      </c>
      <c r="E22" t="s">
        <v>2</v>
      </c>
    </row>
    <row r="23" spans="1:5" hidden="1" x14ac:dyDescent="0.3">
      <c r="A23" t="s">
        <v>169</v>
      </c>
      <c r="B23" t="s">
        <v>180</v>
      </c>
      <c r="C23" t="s">
        <v>175</v>
      </c>
      <c r="D23">
        <v>0</v>
      </c>
      <c r="E23" t="s">
        <v>3</v>
      </c>
    </row>
    <row r="24" spans="1:5" hidden="1" x14ac:dyDescent="0.3">
      <c r="A24" t="s">
        <v>169</v>
      </c>
      <c r="B24" t="s">
        <v>180</v>
      </c>
      <c r="C24" t="s">
        <v>175</v>
      </c>
      <c r="D24">
        <v>0</v>
      </c>
      <c r="E24" t="s">
        <v>4</v>
      </c>
    </row>
    <row r="25" spans="1:5" hidden="1" x14ac:dyDescent="0.3">
      <c r="A25" t="s">
        <v>169</v>
      </c>
      <c r="B25" t="s">
        <v>180</v>
      </c>
      <c r="C25" t="s">
        <v>175</v>
      </c>
      <c r="D25">
        <v>0</v>
      </c>
      <c r="E25" t="s">
        <v>179</v>
      </c>
    </row>
    <row r="26" spans="1:5" hidden="1" x14ac:dyDescent="0.3">
      <c r="A26" t="s">
        <v>170</v>
      </c>
      <c r="B26" t="s">
        <v>180</v>
      </c>
      <c r="C26" t="s">
        <v>175</v>
      </c>
      <c r="D26">
        <v>0</v>
      </c>
      <c r="E26" t="s">
        <v>184</v>
      </c>
    </row>
    <row r="27" spans="1:5" hidden="1" x14ac:dyDescent="0.3">
      <c r="A27" t="s">
        <v>170</v>
      </c>
      <c r="B27" t="s">
        <v>180</v>
      </c>
      <c r="C27" t="s">
        <v>175</v>
      </c>
      <c r="D27">
        <v>0</v>
      </c>
      <c r="E27" t="s">
        <v>185</v>
      </c>
    </row>
    <row r="28" spans="1:5" hidden="1" x14ac:dyDescent="0.3">
      <c r="A28" t="s">
        <v>170</v>
      </c>
      <c r="B28" t="s">
        <v>180</v>
      </c>
      <c r="C28" t="s">
        <v>175</v>
      </c>
      <c r="D28">
        <v>1.3200000000000001E-4</v>
      </c>
      <c r="E28" t="s">
        <v>186</v>
      </c>
    </row>
    <row r="29" spans="1:5" hidden="1" x14ac:dyDescent="0.3">
      <c r="A29" t="s">
        <v>170</v>
      </c>
      <c r="B29" t="s">
        <v>180</v>
      </c>
      <c r="C29" t="s">
        <v>175</v>
      </c>
      <c r="D29">
        <v>0</v>
      </c>
      <c r="E29" t="s">
        <v>176</v>
      </c>
    </row>
    <row r="30" spans="1:5" hidden="1" x14ac:dyDescent="0.3">
      <c r="A30" t="s">
        <v>170</v>
      </c>
      <c r="B30" t="s">
        <v>180</v>
      </c>
      <c r="C30" t="s">
        <v>175</v>
      </c>
      <c r="D30">
        <v>7.2979999999999998E-3</v>
      </c>
      <c r="E30" t="s">
        <v>177</v>
      </c>
    </row>
    <row r="31" spans="1:5" hidden="1" x14ac:dyDescent="0.3">
      <c r="A31" t="s">
        <v>170</v>
      </c>
      <c r="B31" t="s">
        <v>180</v>
      </c>
      <c r="C31" t="s">
        <v>175</v>
      </c>
      <c r="D31">
        <v>3.3439999999999998E-2</v>
      </c>
      <c r="E31" t="s">
        <v>178</v>
      </c>
    </row>
    <row r="32" spans="1:5" hidden="1" x14ac:dyDescent="0.3">
      <c r="A32" t="s">
        <v>170</v>
      </c>
      <c r="B32" t="s">
        <v>180</v>
      </c>
      <c r="C32" t="s">
        <v>175</v>
      </c>
      <c r="D32">
        <v>0.23210700000000001</v>
      </c>
      <c r="E32" t="s">
        <v>0</v>
      </c>
    </row>
    <row r="33" spans="1:5" hidden="1" x14ac:dyDescent="0.3">
      <c r="A33" t="s">
        <v>170</v>
      </c>
      <c r="B33" t="s">
        <v>180</v>
      </c>
      <c r="C33" t="s">
        <v>175</v>
      </c>
      <c r="D33">
        <v>8.1987999999999991E-2</v>
      </c>
      <c r="E33" t="s">
        <v>1</v>
      </c>
    </row>
    <row r="34" spans="1:5" hidden="1" x14ac:dyDescent="0.3">
      <c r="A34" t="s">
        <v>170</v>
      </c>
      <c r="B34" t="s">
        <v>180</v>
      </c>
      <c r="C34" t="s">
        <v>175</v>
      </c>
      <c r="D34">
        <v>0.56977720000000054</v>
      </c>
      <c r="E34" t="s">
        <v>2</v>
      </c>
    </row>
    <row r="35" spans="1:5" hidden="1" x14ac:dyDescent="0.3">
      <c r="A35" t="s">
        <v>170</v>
      </c>
      <c r="B35" t="s">
        <v>180</v>
      </c>
      <c r="C35" t="s">
        <v>175</v>
      </c>
      <c r="D35">
        <v>1.08118E-2</v>
      </c>
      <c r="E35" t="s">
        <v>3</v>
      </c>
    </row>
    <row r="36" spans="1:5" hidden="1" x14ac:dyDescent="0.3">
      <c r="A36" t="s">
        <v>170</v>
      </c>
      <c r="B36" t="s">
        <v>180</v>
      </c>
      <c r="C36" t="s">
        <v>175</v>
      </c>
      <c r="D36">
        <v>0.10215200000000001</v>
      </c>
      <c r="E36" t="s">
        <v>4</v>
      </c>
    </row>
    <row r="37" spans="1:5" hidden="1" x14ac:dyDescent="0.3">
      <c r="A37" t="s">
        <v>170</v>
      </c>
      <c r="B37" t="s">
        <v>180</v>
      </c>
      <c r="C37" t="s">
        <v>175</v>
      </c>
      <c r="D37">
        <v>0.1365072</v>
      </c>
      <c r="E37" t="s">
        <v>179</v>
      </c>
    </row>
    <row r="38" spans="1:5" hidden="1" x14ac:dyDescent="0.3">
      <c r="A38" t="s">
        <v>171</v>
      </c>
      <c r="B38" t="s">
        <v>180</v>
      </c>
      <c r="C38" t="s">
        <v>175</v>
      </c>
      <c r="D38">
        <v>0</v>
      </c>
      <c r="E38" t="s">
        <v>184</v>
      </c>
    </row>
    <row r="39" spans="1:5" hidden="1" x14ac:dyDescent="0.3">
      <c r="A39" t="s">
        <v>171</v>
      </c>
      <c r="B39" t="s">
        <v>180</v>
      </c>
      <c r="C39" t="s">
        <v>175</v>
      </c>
      <c r="D39">
        <v>0</v>
      </c>
      <c r="E39" t="s">
        <v>185</v>
      </c>
    </row>
    <row r="40" spans="1:5" hidden="1" x14ac:dyDescent="0.3">
      <c r="A40" t="s">
        <v>171</v>
      </c>
      <c r="B40" t="s">
        <v>180</v>
      </c>
      <c r="C40" t="s">
        <v>175</v>
      </c>
      <c r="D40">
        <v>0</v>
      </c>
      <c r="E40" t="s">
        <v>186</v>
      </c>
    </row>
    <row r="41" spans="1:5" hidden="1" x14ac:dyDescent="0.3">
      <c r="A41" t="s">
        <v>171</v>
      </c>
      <c r="B41" t="s">
        <v>180</v>
      </c>
      <c r="C41" t="s">
        <v>175</v>
      </c>
      <c r="D41">
        <v>0.02</v>
      </c>
      <c r="E41" t="s">
        <v>176</v>
      </c>
    </row>
    <row r="42" spans="1:5" hidden="1" x14ac:dyDescent="0.3">
      <c r="A42" t="s">
        <v>171</v>
      </c>
      <c r="B42" t="s">
        <v>180</v>
      </c>
      <c r="C42" t="s">
        <v>175</v>
      </c>
      <c r="D42">
        <v>0.01</v>
      </c>
      <c r="E42" t="s">
        <v>177</v>
      </c>
    </row>
    <row r="43" spans="1:5" hidden="1" x14ac:dyDescent="0.3">
      <c r="A43" t="s">
        <v>171</v>
      </c>
      <c r="B43" t="s">
        <v>180</v>
      </c>
      <c r="C43" t="s">
        <v>175</v>
      </c>
      <c r="D43">
        <v>0.01</v>
      </c>
      <c r="E43" t="s">
        <v>178</v>
      </c>
    </row>
    <row r="44" spans="1:5" hidden="1" x14ac:dyDescent="0.3">
      <c r="A44" t="s">
        <v>171</v>
      </c>
      <c r="B44" t="s">
        <v>180</v>
      </c>
      <c r="C44" t="s">
        <v>175</v>
      </c>
      <c r="D44">
        <v>9.0800000000000006E-2</v>
      </c>
      <c r="E44" t="s">
        <v>0</v>
      </c>
    </row>
    <row r="45" spans="1:5" hidden="1" x14ac:dyDescent="0.3">
      <c r="A45" t="s">
        <v>171</v>
      </c>
      <c r="B45" t="s">
        <v>180</v>
      </c>
      <c r="C45" t="s">
        <v>175</v>
      </c>
      <c r="D45">
        <v>0.22516</v>
      </c>
      <c r="E45" t="s">
        <v>1</v>
      </c>
    </row>
    <row r="46" spans="1:5" hidden="1" x14ac:dyDescent="0.3">
      <c r="A46" t="s">
        <v>171</v>
      </c>
      <c r="B46" t="s">
        <v>180</v>
      </c>
      <c r="C46" t="s">
        <v>175</v>
      </c>
      <c r="D46">
        <v>0.29532000000000003</v>
      </c>
      <c r="E46" t="s">
        <v>2</v>
      </c>
    </row>
    <row r="47" spans="1:5" hidden="1" x14ac:dyDescent="0.3">
      <c r="A47" t="s">
        <v>171</v>
      </c>
      <c r="B47" t="s">
        <v>180</v>
      </c>
      <c r="C47" t="s">
        <v>175</v>
      </c>
      <c r="D47">
        <v>4.7800000000000002E-2</v>
      </c>
      <c r="E47" t="s">
        <v>3</v>
      </c>
    </row>
    <row r="48" spans="1:5" hidden="1" x14ac:dyDescent="0.3">
      <c r="A48" t="s">
        <v>171</v>
      </c>
      <c r="B48" t="s">
        <v>180</v>
      </c>
      <c r="C48" t="s">
        <v>175</v>
      </c>
      <c r="D48">
        <v>0.20949200000000001</v>
      </c>
      <c r="E48" t="s">
        <v>4</v>
      </c>
    </row>
    <row r="49" spans="1:5" hidden="1" x14ac:dyDescent="0.3">
      <c r="A49" t="s">
        <v>171</v>
      </c>
      <c r="B49" t="s">
        <v>180</v>
      </c>
      <c r="C49" t="s">
        <v>175</v>
      </c>
      <c r="D49">
        <v>0.37431520000000001</v>
      </c>
      <c r="E49" t="s">
        <v>179</v>
      </c>
    </row>
    <row r="50" spans="1:5" hidden="1" x14ac:dyDescent="0.3">
      <c r="A50" t="s">
        <v>172</v>
      </c>
      <c r="B50" t="s">
        <v>180</v>
      </c>
      <c r="C50" t="s">
        <v>175</v>
      </c>
      <c r="D50">
        <v>0</v>
      </c>
      <c r="E50" t="s">
        <v>184</v>
      </c>
    </row>
    <row r="51" spans="1:5" hidden="1" x14ac:dyDescent="0.3">
      <c r="A51" t="s">
        <v>172</v>
      </c>
      <c r="B51" t="s">
        <v>180</v>
      </c>
      <c r="C51" t="s">
        <v>175</v>
      </c>
      <c r="D51">
        <v>0</v>
      </c>
      <c r="E51" t="s">
        <v>185</v>
      </c>
    </row>
    <row r="52" spans="1:5" hidden="1" x14ac:dyDescent="0.3">
      <c r="A52" t="s">
        <v>172</v>
      </c>
      <c r="B52" t="s">
        <v>180</v>
      </c>
      <c r="C52" t="s">
        <v>175</v>
      </c>
      <c r="D52">
        <v>8.8500000000000002E-3</v>
      </c>
      <c r="E52" t="s">
        <v>186</v>
      </c>
    </row>
    <row r="53" spans="1:5" hidden="1" x14ac:dyDescent="0.3">
      <c r="A53" t="s">
        <v>172</v>
      </c>
      <c r="B53" t="s">
        <v>180</v>
      </c>
      <c r="C53" t="s">
        <v>175</v>
      </c>
      <c r="D53">
        <v>0.02</v>
      </c>
      <c r="E53" t="s">
        <v>176</v>
      </c>
    </row>
    <row r="54" spans="1:5" hidden="1" x14ac:dyDescent="0.3">
      <c r="A54" t="s">
        <v>172</v>
      </c>
      <c r="B54" t="s">
        <v>180</v>
      </c>
      <c r="C54" t="s">
        <v>175</v>
      </c>
      <c r="D54">
        <v>0</v>
      </c>
      <c r="E54" t="s">
        <v>177</v>
      </c>
    </row>
    <row r="55" spans="1:5" hidden="1" x14ac:dyDescent="0.3">
      <c r="A55" t="s">
        <v>172</v>
      </c>
      <c r="B55" t="s">
        <v>180</v>
      </c>
      <c r="C55" t="s">
        <v>175</v>
      </c>
      <c r="D55">
        <v>7.0000000000000001E-3</v>
      </c>
      <c r="E55" t="s">
        <v>178</v>
      </c>
    </row>
    <row r="56" spans="1:5" hidden="1" x14ac:dyDescent="0.3">
      <c r="A56" t="s">
        <v>172</v>
      </c>
      <c r="B56" t="s">
        <v>180</v>
      </c>
      <c r="C56" t="s">
        <v>175</v>
      </c>
      <c r="D56">
        <v>0</v>
      </c>
      <c r="E56" t="s">
        <v>0</v>
      </c>
    </row>
    <row r="57" spans="1:5" hidden="1" x14ac:dyDescent="0.3">
      <c r="A57" t="s">
        <v>172</v>
      </c>
      <c r="B57" t="s">
        <v>180</v>
      </c>
      <c r="C57" t="s">
        <v>175</v>
      </c>
      <c r="D57">
        <v>0</v>
      </c>
      <c r="E57" t="s">
        <v>1</v>
      </c>
    </row>
    <row r="58" spans="1:5" hidden="1" x14ac:dyDescent="0.3">
      <c r="A58" t="s">
        <v>172</v>
      </c>
      <c r="B58" t="s">
        <v>180</v>
      </c>
      <c r="C58" t="s">
        <v>175</v>
      </c>
      <c r="D58">
        <v>0</v>
      </c>
      <c r="E58" t="s">
        <v>2</v>
      </c>
    </row>
    <row r="59" spans="1:5" hidden="1" x14ac:dyDescent="0.3">
      <c r="A59" t="s">
        <v>172</v>
      </c>
      <c r="B59" t="s">
        <v>180</v>
      </c>
      <c r="C59" t="s">
        <v>175</v>
      </c>
      <c r="D59">
        <v>3.0400000000000002E-3</v>
      </c>
      <c r="E59" t="s">
        <v>3</v>
      </c>
    </row>
    <row r="60" spans="1:5" hidden="1" x14ac:dyDescent="0.3">
      <c r="A60" t="s">
        <v>172</v>
      </c>
      <c r="B60" t="s">
        <v>180</v>
      </c>
      <c r="C60" t="s">
        <v>175</v>
      </c>
      <c r="D60">
        <v>1.8268E-2</v>
      </c>
      <c r="E60" t="s">
        <v>4</v>
      </c>
    </row>
    <row r="61" spans="1:5" hidden="1" x14ac:dyDescent="0.3">
      <c r="A61" t="s">
        <v>172</v>
      </c>
      <c r="B61" t="s">
        <v>180</v>
      </c>
      <c r="C61" t="s">
        <v>175</v>
      </c>
      <c r="D61">
        <v>0</v>
      </c>
      <c r="E61" t="s">
        <v>179</v>
      </c>
    </row>
    <row r="62" spans="1:5" hidden="1" x14ac:dyDescent="0.3">
      <c r="A62" t="s">
        <v>173</v>
      </c>
      <c r="B62" t="s">
        <v>180</v>
      </c>
      <c r="C62" t="s">
        <v>175</v>
      </c>
      <c r="D62">
        <v>0</v>
      </c>
      <c r="E62" t="s">
        <v>184</v>
      </c>
    </row>
    <row r="63" spans="1:5" hidden="1" x14ac:dyDescent="0.3">
      <c r="A63" t="s">
        <v>173</v>
      </c>
      <c r="B63" t="s">
        <v>180</v>
      </c>
      <c r="C63" t="s">
        <v>175</v>
      </c>
      <c r="D63">
        <v>4.2157199999999999E-2</v>
      </c>
      <c r="E63" t="s">
        <v>185</v>
      </c>
    </row>
    <row r="64" spans="1:5" hidden="1" x14ac:dyDescent="0.3">
      <c r="A64" t="s">
        <v>173</v>
      </c>
      <c r="B64" t="s">
        <v>180</v>
      </c>
      <c r="C64" t="s">
        <v>175</v>
      </c>
      <c r="D64">
        <v>4.3E-3</v>
      </c>
      <c r="E64" t="s">
        <v>186</v>
      </c>
    </row>
    <row r="65" spans="1:5" hidden="1" x14ac:dyDescent="0.3">
      <c r="A65" t="s">
        <v>173</v>
      </c>
      <c r="B65" t="s">
        <v>180</v>
      </c>
      <c r="C65" t="s">
        <v>175</v>
      </c>
      <c r="D65">
        <v>4.3999999999999997E-2</v>
      </c>
      <c r="E65" t="s">
        <v>176</v>
      </c>
    </row>
    <row r="66" spans="1:5" hidden="1" x14ac:dyDescent="0.3">
      <c r="A66" t="s">
        <v>173</v>
      </c>
      <c r="B66" t="s">
        <v>180</v>
      </c>
      <c r="C66" t="s">
        <v>175</v>
      </c>
      <c r="D66">
        <v>4.2000000000000003E-2</v>
      </c>
      <c r="E66" t="s">
        <v>177</v>
      </c>
    </row>
    <row r="67" spans="1:5" hidden="1" x14ac:dyDescent="0.3">
      <c r="A67" t="s">
        <v>173</v>
      </c>
      <c r="B67" t="s">
        <v>180</v>
      </c>
      <c r="C67" t="s">
        <v>175</v>
      </c>
      <c r="D67">
        <v>0.11700000000000001</v>
      </c>
      <c r="E67" t="s">
        <v>178</v>
      </c>
    </row>
    <row r="68" spans="1:5" hidden="1" x14ac:dyDescent="0.3">
      <c r="A68" t="s">
        <v>173</v>
      </c>
      <c r="B68" t="s">
        <v>180</v>
      </c>
      <c r="C68" t="s">
        <v>175</v>
      </c>
      <c r="D68">
        <v>0.122375</v>
      </c>
      <c r="E68" t="s">
        <v>0</v>
      </c>
    </row>
    <row r="69" spans="1:5" hidden="1" x14ac:dyDescent="0.3">
      <c r="A69" t="s">
        <v>173</v>
      </c>
      <c r="B69" t="s">
        <v>180</v>
      </c>
      <c r="C69" t="s">
        <v>175</v>
      </c>
      <c r="D69">
        <v>0.29132300000000011</v>
      </c>
      <c r="E69" t="s">
        <v>1</v>
      </c>
    </row>
    <row r="70" spans="1:5" hidden="1" x14ac:dyDescent="0.3">
      <c r="A70" t="s">
        <v>173</v>
      </c>
      <c r="B70" t="s">
        <v>180</v>
      </c>
      <c r="C70" t="s">
        <v>175</v>
      </c>
      <c r="D70">
        <v>0.12243999999999999</v>
      </c>
      <c r="E70" t="s">
        <v>2</v>
      </c>
    </row>
    <row r="71" spans="1:5" hidden="1" x14ac:dyDescent="0.3">
      <c r="A71" t="s">
        <v>173</v>
      </c>
      <c r="B71" t="s">
        <v>180</v>
      </c>
      <c r="C71" t="s">
        <v>175</v>
      </c>
      <c r="D71">
        <v>3.995279999999999E-2</v>
      </c>
      <c r="E71" t="s">
        <v>3</v>
      </c>
    </row>
    <row r="72" spans="1:5" hidden="1" x14ac:dyDescent="0.3">
      <c r="A72" t="s">
        <v>173</v>
      </c>
      <c r="B72" t="s">
        <v>180</v>
      </c>
      <c r="C72" t="s">
        <v>175</v>
      </c>
      <c r="D72">
        <v>8.6657999999999985E-2</v>
      </c>
      <c r="E72" t="s">
        <v>4</v>
      </c>
    </row>
    <row r="73" spans="1:5" hidden="1" x14ac:dyDescent="0.3">
      <c r="A73" t="s">
        <v>173</v>
      </c>
      <c r="B73" t="s">
        <v>180</v>
      </c>
      <c r="C73" t="s">
        <v>175</v>
      </c>
      <c r="D73">
        <v>4.3768000000000008E-2</v>
      </c>
      <c r="E73" t="s">
        <v>179</v>
      </c>
    </row>
    <row r="74" spans="1:5" hidden="1" x14ac:dyDescent="0.3">
      <c r="A74" t="s">
        <v>165</v>
      </c>
      <c r="B74" t="s">
        <v>180</v>
      </c>
      <c r="C74" t="s">
        <v>175</v>
      </c>
      <c r="D74">
        <v>3.5439999999999999E-2</v>
      </c>
      <c r="E74" t="s">
        <v>184</v>
      </c>
    </row>
    <row r="75" spans="1:5" hidden="1" x14ac:dyDescent="0.3">
      <c r="A75" t="s">
        <v>165</v>
      </c>
      <c r="B75" t="s">
        <v>180</v>
      </c>
      <c r="C75" t="s">
        <v>175</v>
      </c>
      <c r="D75">
        <v>5.5720000000000014E-3</v>
      </c>
      <c r="E75" t="s">
        <v>185</v>
      </c>
    </row>
    <row r="76" spans="1:5" hidden="1" x14ac:dyDescent="0.3">
      <c r="A76" t="s">
        <v>165</v>
      </c>
      <c r="B76" t="s">
        <v>180</v>
      </c>
      <c r="C76" t="s">
        <v>175</v>
      </c>
      <c r="D76">
        <v>7.9999999999999996E-6</v>
      </c>
      <c r="E76" t="s">
        <v>186</v>
      </c>
    </row>
    <row r="77" spans="1:5" hidden="1" x14ac:dyDescent="0.3">
      <c r="A77" t="s">
        <v>165</v>
      </c>
      <c r="B77" t="s">
        <v>180</v>
      </c>
      <c r="C77" t="s">
        <v>175</v>
      </c>
      <c r="D77">
        <v>5.4179999999999994E-4</v>
      </c>
      <c r="E77" t="s">
        <v>176</v>
      </c>
    </row>
    <row r="78" spans="1:5" hidden="1" x14ac:dyDescent="0.3">
      <c r="A78" t="s">
        <v>165</v>
      </c>
      <c r="B78" t="s">
        <v>180</v>
      </c>
      <c r="C78" t="s">
        <v>175</v>
      </c>
      <c r="D78">
        <v>0.2204266</v>
      </c>
      <c r="E78" t="s">
        <v>177</v>
      </c>
    </row>
    <row r="79" spans="1:5" hidden="1" x14ac:dyDescent="0.3">
      <c r="A79" t="s">
        <v>165</v>
      </c>
      <c r="B79" t="s">
        <v>180</v>
      </c>
      <c r="C79" t="s">
        <v>175</v>
      </c>
      <c r="D79">
        <v>0.30630200000000002</v>
      </c>
      <c r="E79" t="s">
        <v>178</v>
      </c>
    </row>
    <row r="80" spans="1:5" hidden="1" x14ac:dyDescent="0.3">
      <c r="A80" t="s">
        <v>165</v>
      </c>
      <c r="B80" t="s">
        <v>180</v>
      </c>
      <c r="C80" t="s">
        <v>175</v>
      </c>
      <c r="D80">
        <v>2.3019999999999998E-3</v>
      </c>
      <c r="E80" t="s">
        <v>0</v>
      </c>
    </row>
    <row r="81" spans="1:5" hidden="1" x14ac:dyDescent="0.3">
      <c r="A81" t="s">
        <v>165</v>
      </c>
      <c r="B81" t="s">
        <v>180</v>
      </c>
      <c r="C81" t="s">
        <v>175</v>
      </c>
      <c r="D81">
        <v>0.39012200000000002</v>
      </c>
      <c r="E81" t="s">
        <v>1</v>
      </c>
    </row>
    <row r="82" spans="1:5" hidden="1" x14ac:dyDescent="0.3">
      <c r="A82" t="s">
        <v>165</v>
      </c>
      <c r="B82" t="s">
        <v>180</v>
      </c>
      <c r="C82" t="s">
        <v>175</v>
      </c>
      <c r="D82">
        <v>1.908E-2</v>
      </c>
      <c r="E82" t="s">
        <v>2</v>
      </c>
    </row>
    <row r="83" spans="1:5" hidden="1" x14ac:dyDescent="0.3">
      <c r="A83" t="s">
        <v>165</v>
      </c>
      <c r="B83" t="s">
        <v>180</v>
      </c>
      <c r="C83" t="s">
        <v>175</v>
      </c>
      <c r="D83">
        <v>0.32247999999999999</v>
      </c>
      <c r="E83" t="s">
        <v>3</v>
      </c>
    </row>
    <row r="84" spans="1:5" hidden="1" x14ac:dyDescent="0.3">
      <c r="A84" t="s">
        <v>165</v>
      </c>
      <c r="B84" t="s">
        <v>180</v>
      </c>
      <c r="C84" t="s">
        <v>175</v>
      </c>
      <c r="D84">
        <v>3.8723999999999988E-2</v>
      </c>
      <c r="E84" t="s">
        <v>4</v>
      </c>
    </row>
    <row r="85" spans="1:5" hidden="1" x14ac:dyDescent="0.3">
      <c r="A85" t="s">
        <v>165</v>
      </c>
      <c r="B85" t="s">
        <v>180</v>
      </c>
      <c r="C85" t="s">
        <v>175</v>
      </c>
      <c r="D85">
        <v>0.1007118</v>
      </c>
      <c r="E85" t="s">
        <v>179</v>
      </c>
    </row>
    <row r="86" spans="1:5" hidden="1" x14ac:dyDescent="0.3">
      <c r="A86" t="s">
        <v>134</v>
      </c>
      <c r="B86" t="s">
        <v>180</v>
      </c>
      <c r="C86" t="s">
        <v>175</v>
      </c>
      <c r="D86">
        <v>0</v>
      </c>
      <c r="E86" t="s">
        <v>184</v>
      </c>
    </row>
    <row r="87" spans="1:5" hidden="1" x14ac:dyDescent="0.3">
      <c r="A87" t="s">
        <v>134</v>
      </c>
      <c r="B87" t="s">
        <v>180</v>
      </c>
      <c r="C87" t="s">
        <v>175</v>
      </c>
      <c r="D87">
        <v>0</v>
      </c>
      <c r="E87" t="s">
        <v>185</v>
      </c>
    </row>
    <row r="88" spans="1:5" hidden="1" x14ac:dyDescent="0.3">
      <c r="A88" t="s">
        <v>134</v>
      </c>
      <c r="B88" t="s">
        <v>180</v>
      </c>
      <c r="C88" t="s">
        <v>175</v>
      </c>
      <c r="D88">
        <v>0</v>
      </c>
      <c r="E88" t="s">
        <v>186</v>
      </c>
    </row>
    <row r="89" spans="1:5" hidden="1" x14ac:dyDescent="0.3">
      <c r="A89" t="s">
        <v>134</v>
      </c>
      <c r="B89" t="s">
        <v>180</v>
      </c>
      <c r="C89" t="s">
        <v>175</v>
      </c>
      <c r="D89">
        <v>0.02</v>
      </c>
      <c r="E89" t="s">
        <v>176</v>
      </c>
    </row>
    <row r="90" spans="1:5" hidden="1" x14ac:dyDescent="0.3">
      <c r="A90" t="s">
        <v>134</v>
      </c>
      <c r="B90" t="s">
        <v>180</v>
      </c>
      <c r="C90" t="s">
        <v>175</v>
      </c>
      <c r="D90">
        <v>0</v>
      </c>
      <c r="E90" t="s">
        <v>177</v>
      </c>
    </row>
    <row r="91" spans="1:5" hidden="1" x14ac:dyDescent="0.3">
      <c r="A91" t="s">
        <v>134</v>
      </c>
      <c r="B91" t="s">
        <v>180</v>
      </c>
      <c r="C91" t="s">
        <v>175</v>
      </c>
      <c r="D91">
        <v>0</v>
      </c>
      <c r="E91" t="s">
        <v>178</v>
      </c>
    </row>
    <row r="92" spans="1:5" hidden="1" x14ac:dyDescent="0.3">
      <c r="A92" t="s">
        <v>134</v>
      </c>
      <c r="B92" t="s">
        <v>180</v>
      </c>
      <c r="C92" t="s">
        <v>175</v>
      </c>
      <c r="D92">
        <v>0</v>
      </c>
      <c r="E92" t="s">
        <v>0</v>
      </c>
    </row>
    <row r="93" spans="1:5" hidden="1" x14ac:dyDescent="0.3">
      <c r="A93" t="s">
        <v>134</v>
      </c>
      <c r="B93" t="s">
        <v>180</v>
      </c>
      <c r="C93" t="s">
        <v>175</v>
      </c>
      <c r="D93">
        <v>0</v>
      </c>
      <c r="E93" t="s">
        <v>1</v>
      </c>
    </row>
    <row r="94" spans="1:5" hidden="1" x14ac:dyDescent="0.3">
      <c r="A94" t="s">
        <v>134</v>
      </c>
      <c r="B94" t="s">
        <v>180</v>
      </c>
      <c r="C94" t="s">
        <v>175</v>
      </c>
      <c r="D94">
        <v>6.5000000000000002E-2</v>
      </c>
      <c r="E94" t="s">
        <v>2</v>
      </c>
    </row>
    <row r="95" spans="1:5" hidden="1" x14ac:dyDescent="0.3">
      <c r="A95" t="s">
        <v>134</v>
      </c>
      <c r="B95" t="s">
        <v>180</v>
      </c>
      <c r="C95" t="s">
        <v>175</v>
      </c>
      <c r="D95">
        <v>0</v>
      </c>
      <c r="E95" t="s">
        <v>3</v>
      </c>
    </row>
    <row r="96" spans="1:5" hidden="1" x14ac:dyDescent="0.3">
      <c r="A96" t="s">
        <v>134</v>
      </c>
      <c r="B96" t="s">
        <v>180</v>
      </c>
      <c r="C96" t="s">
        <v>175</v>
      </c>
      <c r="D96">
        <v>0</v>
      </c>
      <c r="E96" t="s">
        <v>4</v>
      </c>
    </row>
    <row r="97" spans="1:5" hidden="1" x14ac:dyDescent="0.3">
      <c r="A97" t="s">
        <v>134</v>
      </c>
      <c r="B97" t="s">
        <v>180</v>
      </c>
      <c r="C97" t="s">
        <v>175</v>
      </c>
      <c r="D97">
        <v>6.5000000000000002E-2</v>
      </c>
      <c r="E97" t="s">
        <v>179</v>
      </c>
    </row>
    <row r="98" spans="1:5" hidden="1" x14ac:dyDescent="0.3">
      <c r="A98" t="s">
        <v>166</v>
      </c>
      <c r="B98" t="s">
        <v>180</v>
      </c>
      <c r="C98" t="s">
        <v>175</v>
      </c>
      <c r="D98">
        <v>0</v>
      </c>
      <c r="E98" t="s">
        <v>184</v>
      </c>
    </row>
    <row r="99" spans="1:5" hidden="1" x14ac:dyDescent="0.3">
      <c r="A99" t="s">
        <v>166</v>
      </c>
      <c r="B99" t="s">
        <v>180</v>
      </c>
      <c r="C99" t="s">
        <v>175</v>
      </c>
      <c r="D99">
        <v>0</v>
      </c>
      <c r="E99" t="s">
        <v>185</v>
      </c>
    </row>
    <row r="100" spans="1:5" hidden="1" x14ac:dyDescent="0.3">
      <c r="A100" t="s">
        <v>166</v>
      </c>
      <c r="B100" t="s">
        <v>180</v>
      </c>
      <c r="C100" t="s">
        <v>175</v>
      </c>
      <c r="D100">
        <v>0</v>
      </c>
      <c r="E100" t="s">
        <v>186</v>
      </c>
    </row>
    <row r="101" spans="1:5" hidden="1" x14ac:dyDescent="0.3">
      <c r="A101" t="s">
        <v>166</v>
      </c>
      <c r="B101" t="s">
        <v>180</v>
      </c>
      <c r="C101" t="s">
        <v>175</v>
      </c>
      <c r="D101">
        <v>0</v>
      </c>
      <c r="E101" t="s">
        <v>176</v>
      </c>
    </row>
    <row r="102" spans="1:5" hidden="1" x14ac:dyDescent="0.3">
      <c r="A102" t="s">
        <v>166</v>
      </c>
      <c r="B102" t="s">
        <v>180</v>
      </c>
      <c r="C102" t="s">
        <v>175</v>
      </c>
      <c r="D102">
        <v>0</v>
      </c>
      <c r="E102" t="s">
        <v>177</v>
      </c>
    </row>
    <row r="103" spans="1:5" hidden="1" x14ac:dyDescent="0.3">
      <c r="A103" t="s">
        <v>166</v>
      </c>
      <c r="B103" t="s">
        <v>180</v>
      </c>
      <c r="C103" t="s">
        <v>175</v>
      </c>
      <c r="D103">
        <v>0</v>
      </c>
      <c r="E103" t="s">
        <v>178</v>
      </c>
    </row>
    <row r="104" spans="1:5" hidden="1" x14ac:dyDescent="0.3">
      <c r="A104" t="s">
        <v>166</v>
      </c>
      <c r="B104" t="s">
        <v>180</v>
      </c>
      <c r="C104" t="s">
        <v>175</v>
      </c>
      <c r="D104">
        <v>0</v>
      </c>
      <c r="E104" t="s">
        <v>0</v>
      </c>
    </row>
    <row r="105" spans="1:5" hidden="1" x14ac:dyDescent="0.3">
      <c r="A105" t="s">
        <v>166</v>
      </c>
      <c r="B105" t="s">
        <v>180</v>
      </c>
      <c r="C105" t="s">
        <v>175</v>
      </c>
      <c r="D105">
        <v>0</v>
      </c>
      <c r="E105" t="s">
        <v>1</v>
      </c>
    </row>
    <row r="106" spans="1:5" hidden="1" x14ac:dyDescent="0.3">
      <c r="A106" t="s">
        <v>166</v>
      </c>
      <c r="B106" t="s">
        <v>180</v>
      </c>
      <c r="C106" t="s">
        <v>175</v>
      </c>
      <c r="D106">
        <v>0</v>
      </c>
      <c r="E106" t="s">
        <v>2</v>
      </c>
    </row>
    <row r="107" spans="1:5" hidden="1" x14ac:dyDescent="0.3">
      <c r="A107" t="s">
        <v>166</v>
      </c>
      <c r="B107" t="s">
        <v>180</v>
      </c>
      <c r="C107" t="s">
        <v>175</v>
      </c>
      <c r="D107">
        <v>0</v>
      </c>
      <c r="E107" t="s">
        <v>3</v>
      </c>
    </row>
    <row r="108" spans="1:5" hidden="1" x14ac:dyDescent="0.3">
      <c r="A108" t="s">
        <v>166</v>
      </c>
      <c r="B108" t="s">
        <v>180</v>
      </c>
      <c r="C108" t="s">
        <v>175</v>
      </c>
      <c r="D108">
        <v>0</v>
      </c>
      <c r="E108" t="s">
        <v>4</v>
      </c>
    </row>
    <row r="109" spans="1:5" hidden="1" x14ac:dyDescent="0.3">
      <c r="A109" t="s">
        <v>166</v>
      </c>
      <c r="B109" t="s">
        <v>180</v>
      </c>
      <c r="C109" t="s">
        <v>175</v>
      </c>
      <c r="D109">
        <v>2.1069999999999998E-2</v>
      </c>
      <c r="E109" t="s">
        <v>179</v>
      </c>
    </row>
    <row r="110" spans="1:5" hidden="1" x14ac:dyDescent="0.3">
      <c r="A110" t="s">
        <v>49</v>
      </c>
      <c r="B110" t="s">
        <v>180</v>
      </c>
      <c r="C110" t="s">
        <v>175</v>
      </c>
      <c r="D110">
        <v>0</v>
      </c>
      <c r="E110" t="s">
        <v>184</v>
      </c>
    </row>
    <row r="111" spans="1:5" hidden="1" x14ac:dyDescent="0.3">
      <c r="A111" t="s">
        <v>49</v>
      </c>
      <c r="B111" t="s">
        <v>180</v>
      </c>
      <c r="C111" t="s">
        <v>175</v>
      </c>
      <c r="D111">
        <v>0</v>
      </c>
      <c r="E111" t="s">
        <v>185</v>
      </c>
    </row>
    <row r="112" spans="1:5" hidden="1" x14ac:dyDescent="0.3">
      <c r="A112" t="s">
        <v>49</v>
      </c>
      <c r="B112" t="s">
        <v>180</v>
      </c>
      <c r="C112" t="s">
        <v>175</v>
      </c>
      <c r="D112">
        <v>0</v>
      </c>
      <c r="E112" t="s">
        <v>186</v>
      </c>
    </row>
    <row r="113" spans="1:5" hidden="1" x14ac:dyDescent="0.3">
      <c r="A113" t="s">
        <v>49</v>
      </c>
      <c r="B113" t="s">
        <v>180</v>
      </c>
      <c r="C113" t="s">
        <v>175</v>
      </c>
      <c r="D113">
        <v>0</v>
      </c>
      <c r="E113" t="s">
        <v>176</v>
      </c>
    </row>
    <row r="114" spans="1:5" hidden="1" x14ac:dyDescent="0.3">
      <c r="A114" t="s">
        <v>49</v>
      </c>
      <c r="B114" t="s">
        <v>180</v>
      </c>
      <c r="C114" t="s">
        <v>175</v>
      </c>
      <c r="D114">
        <v>0</v>
      </c>
      <c r="E114" t="s">
        <v>177</v>
      </c>
    </row>
    <row r="115" spans="1:5" hidden="1" x14ac:dyDescent="0.3">
      <c r="A115" t="s">
        <v>49</v>
      </c>
      <c r="B115" t="s">
        <v>180</v>
      </c>
      <c r="C115" t="s">
        <v>175</v>
      </c>
      <c r="D115">
        <v>0</v>
      </c>
      <c r="E115" t="s">
        <v>178</v>
      </c>
    </row>
    <row r="116" spans="1:5" hidden="1" x14ac:dyDescent="0.3">
      <c r="A116" t="s">
        <v>49</v>
      </c>
      <c r="B116" t="s">
        <v>180</v>
      </c>
      <c r="C116" t="s">
        <v>175</v>
      </c>
      <c r="D116">
        <v>0</v>
      </c>
      <c r="E116" t="s">
        <v>0</v>
      </c>
    </row>
    <row r="117" spans="1:5" hidden="1" x14ac:dyDescent="0.3">
      <c r="A117" t="s">
        <v>49</v>
      </c>
      <c r="B117" t="s">
        <v>180</v>
      </c>
      <c r="C117" t="s">
        <v>175</v>
      </c>
      <c r="D117">
        <v>0</v>
      </c>
      <c r="E117" t="s">
        <v>1</v>
      </c>
    </row>
    <row r="118" spans="1:5" hidden="1" x14ac:dyDescent="0.3">
      <c r="A118" t="s">
        <v>49</v>
      </c>
      <c r="B118" t="s">
        <v>180</v>
      </c>
      <c r="C118" t="s">
        <v>175</v>
      </c>
      <c r="D118">
        <v>0</v>
      </c>
      <c r="E118" t="s">
        <v>2</v>
      </c>
    </row>
    <row r="119" spans="1:5" hidden="1" x14ac:dyDescent="0.3">
      <c r="A119" t="s">
        <v>49</v>
      </c>
      <c r="B119" t="s">
        <v>180</v>
      </c>
      <c r="C119" t="s">
        <v>175</v>
      </c>
      <c r="D119">
        <v>0</v>
      </c>
      <c r="E119" t="s">
        <v>3</v>
      </c>
    </row>
    <row r="120" spans="1:5" hidden="1" x14ac:dyDescent="0.3">
      <c r="A120" t="s">
        <v>49</v>
      </c>
      <c r="B120" t="s">
        <v>180</v>
      </c>
      <c r="C120" t="s">
        <v>175</v>
      </c>
      <c r="D120">
        <v>1.1999999999999999E-3</v>
      </c>
      <c r="E120" t="s">
        <v>4</v>
      </c>
    </row>
    <row r="121" spans="1:5" hidden="1" x14ac:dyDescent="0.3">
      <c r="A121" t="s">
        <v>49</v>
      </c>
      <c r="B121" t="s">
        <v>180</v>
      </c>
      <c r="C121" t="s">
        <v>175</v>
      </c>
      <c r="D121">
        <v>5.9779999999999993E-2</v>
      </c>
      <c r="E121" t="s">
        <v>179</v>
      </c>
    </row>
  </sheetData>
  <autoFilter ref="A1:E121" xr:uid="{592DBEDE-19A7-4194-B605-830BAC310867}">
    <filterColumn colId="0">
      <filters>
        <filter val="bio_ppl"/>
      </filters>
    </filterColumn>
    <sortState xmlns:xlrd2="http://schemas.microsoft.com/office/spreadsheetml/2017/richdata2" ref="A2:E11">
      <sortCondition ref="B1:B11"/>
    </sortState>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5BB47-3B4B-4754-8455-1E7F2CAEC996}">
  <dimension ref="A1:G761"/>
  <sheetViews>
    <sheetView tabSelected="1" topLeftCell="A736" workbookViewId="0">
      <selection activeCell="F760" sqref="F760"/>
    </sheetView>
  </sheetViews>
  <sheetFormatPr defaultRowHeight="14.4" x14ac:dyDescent="0.3"/>
  <cols>
    <col min="2" max="2" width="16" bestFit="1" customWidth="1"/>
  </cols>
  <sheetData>
    <row r="1" spans="1:7" x14ac:dyDescent="0.3">
      <c r="A1" s="81" t="s">
        <v>7</v>
      </c>
      <c r="B1" s="81" t="s">
        <v>6</v>
      </c>
      <c r="C1" s="81" t="s">
        <v>10</v>
      </c>
      <c r="D1" s="81" t="s">
        <v>11</v>
      </c>
      <c r="E1" s="81" t="s">
        <v>12</v>
      </c>
      <c r="F1" s="81" t="s">
        <v>9</v>
      </c>
      <c r="G1" s="81" t="s">
        <v>8</v>
      </c>
    </row>
    <row r="2" spans="1:7" x14ac:dyDescent="0.3">
      <c r="A2" t="s">
        <v>180</v>
      </c>
      <c r="B2" t="s">
        <v>168</v>
      </c>
      <c r="C2" t="s">
        <v>176</v>
      </c>
      <c r="D2" t="s">
        <v>27</v>
      </c>
      <c r="E2" t="s">
        <v>5</v>
      </c>
      <c r="F2">
        <v>0</v>
      </c>
      <c r="G2" t="s">
        <v>239</v>
      </c>
    </row>
    <row r="3" spans="1:7" x14ac:dyDescent="0.3">
      <c r="A3" t="s">
        <v>180</v>
      </c>
      <c r="B3" t="s">
        <v>168</v>
      </c>
      <c r="C3" t="s">
        <v>177</v>
      </c>
      <c r="D3" t="s">
        <v>27</v>
      </c>
      <c r="E3" t="s">
        <v>5</v>
      </c>
      <c r="F3">
        <v>0</v>
      </c>
      <c r="G3" t="s">
        <v>239</v>
      </c>
    </row>
    <row r="4" spans="1:7" x14ac:dyDescent="0.3">
      <c r="A4" t="s">
        <v>180</v>
      </c>
      <c r="B4" t="s">
        <v>168</v>
      </c>
      <c r="C4" t="s">
        <v>178</v>
      </c>
      <c r="D4" t="s">
        <v>27</v>
      </c>
      <c r="E4" t="s">
        <v>5</v>
      </c>
      <c r="F4">
        <v>0</v>
      </c>
      <c r="G4" t="s">
        <v>239</v>
      </c>
    </row>
    <row r="5" spans="1:7" x14ac:dyDescent="0.3">
      <c r="A5" t="s">
        <v>180</v>
      </c>
      <c r="B5" t="s">
        <v>168</v>
      </c>
      <c r="C5" t="s">
        <v>0</v>
      </c>
      <c r="D5" t="s">
        <v>27</v>
      </c>
      <c r="E5" t="s">
        <v>5</v>
      </c>
      <c r="F5">
        <v>0</v>
      </c>
      <c r="G5" t="s">
        <v>239</v>
      </c>
    </row>
    <row r="6" spans="1:7" x14ac:dyDescent="0.3">
      <c r="A6" t="s">
        <v>180</v>
      </c>
      <c r="B6" t="s">
        <v>168</v>
      </c>
      <c r="C6" t="s">
        <v>1</v>
      </c>
      <c r="D6" t="s">
        <v>27</v>
      </c>
      <c r="E6" t="s">
        <v>5</v>
      </c>
      <c r="F6">
        <v>0</v>
      </c>
      <c r="G6" t="s">
        <v>239</v>
      </c>
    </row>
    <row r="7" spans="1:7" x14ac:dyDescent="0.3">
      <c r="A7" t="s">
        <v>180</v>
      </c>
      <c r="B7" t="s">
        <v>168</v>
      </c>
      <c r="C7" t="s">
        <v>2</v>
      </c>
      <c r="D7" t="s">
        <v>27</v>
      </c>
      <c r="E7" t="s">
        <v>5</v>
      </c>
      <c r="F7">
        <v>0</v>
      </c>
      <c r="G7" t="s">
        <v>239</v>
      </c>
    </row>
    <row r="8" spans="1:7" x14ac:dyDescent="0.3">
      <c r="A8" t="s">
        <v>180</v>
      </c>
      <c r="B8" t="s">
        <v>168</v>
      </c>
      <c r="C8" t="s">
        <v>3</v>
      </c>
      <c r="D8" t="s">
        <v>27</v>
      </c>
      <c r="E8" t="s">
        <v>5</v>
      </c>
      <c r="F8">
        <v>0</v>
      </c>
      <c r="G8" t="s">
        <v>239</v>
      </c>
    </row>
    <row r="9" spans="1:7" x14ac:dyDescent="0.3">
      <c r="A9" t="s">
        <v>180</v>
      </c>
      <c r="B9" t="s">
        <v>168</v>
      </c>
      <c r="C9" t="s">
        <v>4</v>
      </c>
      <c r="D9" t="s">
        <v>27</v>
      </c>
      <c r="E9" t="s">
        <v>5</v>
      </c>
      <c r="F9">
        <v>0</v>
      </c>
      <c r="G9" t="s">
        <v>239</v>
      </c>
    </row>
    <row r="10" spans="1:7" x14ac:dyDescent="0.3">
      <c r="A10" t="s">
        <v>180</v>
      </c>
      <c r="B10" t="s">
        <v>168</v>
      </c>
      <c r="C10" t="s">
        <v>179</v>
      </c>
      <c r="D10" t="s">
        <v>27</v>
      </c>
      <c r="E10" t="s">
        <v>5</v>
      </c>
      <c r="F10">
        <v>0</v>
      </c>
      <c r="G10" t="s">
        <v>239</v>
      </c>
    </row>
    <row r="11" spans="1:7" x14ac:dyDescent="0.3">
      <c r="A11" t="s">
        <v>180</v>
      </c>
      <c r="B11" t="s">
        <v>287</v>
      </c>
      <c r="C11" t="s">
        <v>176</v>
      </c>
      <c r="D11" t="s">
        <v>27</v>
      </c>
      <c r="E11" t="s">
        <v>5</v>
      </c>
      <c r="F11">
        <v>0.96419999999999995</v>
      </c>
      <c r="G11" t="s">
        <v>239</v>
      </c>
    </row>
    <row r="12" spans="1:7" x14ac:dyDescent="0.3">
      <c r="A12" t="s">
        <v>180</v>
      </c>
      <c r="B12" t="s">
        <v>287</v>
      </c>
      <c r="C12" t="s">
        <v>177</v>
      </c>
      <c r="D12" t="s">
        <v>27</v>
      </c>
      <c r="E12" t="s">
        <v>5</v>
      </c>
      <c r="F12">
        <v>1.1209</v>
      </c>
      <c r="G12" t="s">
        <v>239</v>
      </c>
    </row>
    <row r="13" spans="1:7" x14ac:dyDescent="0.3">
      <c r="A13" t="s">
        <v>180</v>
      </c>
      <c r="B13" t="s">
        <v>287</v>
      </c>
      <c r="C13" t="s">
        <v>178</v>
      </c>
      <c r="D13" t="s">
        <v>27</v>
      </c>
      <c r="E13" t="s">
        <v>5</v>
      </c>
      <c r="F13">
        <v>2.7208000000000001</v>
      </c>
      <c r="G13" t="s">
        <v>239</v>
      </c>
    </row>
    <row r="14" spans="1:7" x14ac:dyDescent="0.3">
      <c r="A14" t="s">
        <v>180</v>
      </c>
      <c r="B14" t="s">
        <v>287</v>
      </c>
      <c r="C14" t="s">
        <v>0</v>
      </c>
      <c r="D14" t="s">
        <v>27</v>
      </c>
      <c r="E14" t="s">
        <v>5</v>
      </c>
      <c r="F14">
        <v>3.1534</v>
      </c>
      <c r="G14" t="s">
        <v>239</v>
      </c>
    </row>
    <row r="15" spans="1:7" x14ac:dyDescent="0.3">
      <c r="A15" t="s">
        <v>180</v>
      </c>
      <c r="B15" t="s">
        <v>287</v>
      </c>
      <c r="C15" t="s">
        <v>1</v>
      </c>
      <c r="D15" t="s">
        <v>27</v>
      </c>
      <c r="E15" t="s">
        <v>5</v>
      </c>
      <c r="F15">
        <v>3.1070000000000002</v>
      </c>
      <c r="G15" t="s">
        <v>239</v>
      </c>
    </row>
    <row r="16" spans="1:7" x14ac:dyDescent="0.3">
      <c r="A16" s="71" t="s">
        <v>180</v>
      </c>
      <c r="B16" s="71" t="s">
        <v>287</v>
      </c>
      <c r="C16" s="71" t="s">
        <v>2</v>
      </c>
      <c r="D16" s="71" t="s">
        <v>27</v>
      </c>
      <c r="E16" s="71" t="s">
        <v>5</v>
      </c>
      <c r="F16" s="71">
        <v>3.4653999999999998</v>
      </c>
      <c r="G16" s="71" t="s">
        <v>239</v>
      </c>
    </row>
    <row r="17" spans="1:7" x14ac:dyDescent="0.3">
      <c r="A17" s="71" t="s">
        <v>180</v>
      </c>
      <c r="B17" s="71" t="s">
        <v>287</v>
      </c>
      <c r="C17" s="71" t="s">
        <v>3</v>
      </c>
      <c r="D17" s="71" t="s">
        <v>27</v>
      </c>
      <c r="E17" s="71" t="s">
        <v>5</v>
      </c>
      <c r="F17" s="71">
        <v>3.9594999999999998</v>
      </c>
      <c r="G17" s="71" t="s">
        <v>239</v>
      </c>
    </row>
    <row r="18" spans="1:7" x14ac:dyDescent="0.3">
      <c r="A18" s="71" t="s">
        <v>180</v>
      </c>
      <c r="B18" s="71" t="s">
        <v>287</v>
      </c>
      <c r="C18" s="71" t="s">
        <v>4</v>
      </c>
      <c r="D18" s="71" t="s">
        <v>27</v>
      </c>
      <c r="E18" s="71" t="s">
        <v>5</v>
      </c>
      <c r="F18" s="71">
        <v>4.4329000000000001</v>
      </c>
      <c r="G18" s="71" t="s">
        <v>239</v>
      </c>
    </row>
    <row r="19" spans="1:7" x14ac:dyDescent="0.3">
      <c r="A19" s="71" t="s">
        <v>180</v>
      </c>
      <c r="B19" s="71" t="s">
        <v>287</v>
      </c>
      <c r="C19" s="71" t="s">
        <v>179</v>
      </c>
      <c r="D19" s="71" t="s">
        <v>27</v>
      </c>
      <c r="E19" s="71" t="s">
        <v>5</v>
      </c>
      <c r="F19" s="71">
        <v>4.9721000000000002</v>
      </c>
      <c r="G19" s="71" t="s">
        <v>239</v>
      </c>
    </row>
    <row r="20" spans="1:7" x14ac:dyDescent="0.3">
      <c r="A20" t="s">
        <v>180</v>
      </c>
      <c r="B20" t="s">
        <v>286</v>
      </c>
      <c r="C20" t="s">
        <v>176</v>
      </c>
      <c r="D20" t="s">
        <v>27</v>
      </c>
      <c r="E20" t="s">
        <v>5</v>
      </c>
      <c r="F20">
        <v>1.6857</v>
      </c>
      <c r="G20" t="s">
        <v>239</v>
      </c>
    </row>
    <row r="21" spans="1:7" x14ac:dyDescent="0.3">
      <c r="A21" t="s">
        <v>180</v>
      </c>
      <c r="B21" t="s">
        <v>286</v>
      </c>
      <c r="C21" t="s">
        <v>177</v>
      </c>
      <c r="D21" t="s">
        <v>27</v>
      </c>
      <c r="E21" t="s">
        <v>5</v>
      </c>
      <c r="F21">
        <v>1.9597</v>
      </c>
      <c r="G21" t="s">
        <v>239</v>
      </c>
    </row>
    <row r="22" spans="1:7" x14ac:dyDescent="0.3">
      <c r="A22" t="s">
        <v>180</v>
      </c>
      <c r="B22" t="s">
        <v>286</v>
      </c>
      <c r="C22" t="s">
        <v>178</v>
      </c>
      <c r="D22" t="s">
        <v>27</v>
      </c>
      <c r="E22" t="s">
        <v>5</v>
      </c>
      <c r="F22">
        <v>2.2622</v>
      </c>
      <c r="G22" t="s">
        <v>239</v>
      </c>
    </row>
    <row r="23" spans="1:7" x14ac:dyDescent="0.3">
      <c r="A23" t="s">
        <v>180</v>
      </c>
      <c r="B23" t="s">
        <v>286</v>
      </c>
      <c r="C23" t="s">
        <v>0</v>
      </c>
      <c r="D23" t="s">
        <v>27</v>
      </c>
      <c r="E23" t="s">
        <v>5</v>
      </c>
      <c r="F23">
        <v>2.6219000000000001</v>
      </c>
      <c r="G23" t="s">
        <v>239</v>
      </c>
    </row>
    <row r="24" spans="1:7" x14ac:dyDescent="0.3">
      <c r="A24" t="s">
        <v>180</v>
      </c>
      <c r="B24" t="s">
        <v>286</v>
      </c>
      <c r="C24" t="s">
        <v>1</v>
      </c>
      <c r="D24" t="s">
        <v>27</v>
      </c>
      <c r="E24" t="s">
        <v>5</v>
      </c>
      <c r="F24">
        <v>2.9864999999999999</v>
      </c>
      <c r="G24" t="s">
        <v>239</v>
      </c>
    </row>
    <row r="25" spans="1:7" x14ac:dyDescent="0.3">
      <c r="A25" s="71" t="s">
        <v>180</v>
      </c>
      <c r="B25" s="71" t="s">
        <v>286</v>
      </c>
      <c r="C25" s="71" t="s">
        <v>2</v>
      </c>
      <c r="D25" s="71" t="s">
        <v>27</v>
      </c>
      <c r="E25" s="71" t="s">
        <v>5</v>
      </c>
      <c r="F25" s="71">
        <v>3.3311000000000002</v>
      </c>
      <c r="G25" s="71" t="s">
        <v>239</v>
      </c>
    </row>
    <row r="26" spans="1:7" x14ac:dyDescent="0.3">
      <c r="A26" s="71" t="s">
        <v>180</v>
      </c>
      <c r="B26" s="71" t="s">
        <v>286</v>
      </c>
      <c r="C26" s="71" t="s">
        <v>3</v>
      </c>
      <c r="D26" s="71" t="s">
        <v>27</v>
      </c>
      <c r="E26" s="71" t="s">
        <v>5</v>
      </c>
      <c r="F26" s="71">
        <v>3.6951999999999998</v>
      </c>
      <c r="G26" s="71" t="s">
        <v>239</v>
      </c>
    </row>
    <row r="27" spans="1:7" x14ac:dyDescent="0.3">
      <c r="A27" s="71" t="s">
        <v>180</v>
      </c>
      <c r="B27" s="71" t="s">
        <v>286</v>
      </c>
      <c r="C27" s="71" t="s">
        <v>4</v>
      </c>
      <c r="D27" s="71" t="s">
        <v>27</v>
      </c>
      <c r="E27" s="71" t="s">
        <v>5</v>
      </c>
      <c r="F27" s="71">
        <v>4.0972999999999997</v>
      </c>
      <c r="G27" s="71" t="s">
        <v>239</v>
      </c>
    </row>
    <row r="28" spans="1:7" x14ac:dyDescent="0.3">
      <c r="A28" s="71" t="s">
        <v>180</v>
      </c>
      <c r="B28" s="71" t="s">
        <v>286</v>
      </c>
      <c r="C28" s="71" t="s">
        <v>179</v>
      </c>
      <c r="D28" s="71" t="s">
        <v>27</v>
      </c>
      <c r="E28" s="71" t="s">
        <v>5</v>
      </c>
      <c r="F28" s="71">
        <v>4.5522</v>
      </c>
      <c r="G28" s="71" t="s">
        <v>239</v>
      </c>
    </row>
    <row r="29" spans="1:7" x14ac:dyDescent="0.3">
      <c r="A29" t="s">
        <v>180</v>
      </c>
      <c r="B29" t="s">
        <v>285</v>
      </c>
      <c r="C29" t="s">
        <v>176</v>
      </c>
      <c r="D29" t="s">
        <v>27</v>
      </c>
      <c r="E29" t="s">
        <v>5</v>
      </c>
      <c r="F29">
        <v>5.8513999999999999</v>
      </c>
      <c r="G29" t="s">
        <v>239</v>
      </c>
    </row>
    <row r="30" spans="1:7" x14ac:dyDescent="0.3">
      <c r="A30" t="s">
        <v>180</v>
      </c>
      <c r="B30" t="s">
        <v>285</v>
      </c>
      <c r="C30" t="s">
        <v>177</v>
      </c>
      <c r="D30" t="s">
        <v>27</v>
      </c>
      <c r="E30" t="s">
        <v>5</v>
      </c>
      <c r="F30">
        <v>6.8026</v>
      </c>
      <c r="G30" t="s">
        <v>239</v>
      </c>
    </row>
    <row r="31" spans="1:7" x14ac:dyDescent="0.3">
      <c r="A31" t="s">
        <v>180</v>
      </c>
      <c r="B31" t="s">
        <v>285</v>
      </c>
      <c r="C31" t="s">
        <v>178</v>
      </c>
      <c r="D31" t="s">
        <v>27</v>
      </c>
      <c r="E31" t="s">
        <v>5</v>
      </c>
      <c r="F31">
        <v>7.8524000000000003</v>
      </c>
      <c r="G31" t="s">
        <v>239</v>
      </c>
    </row>
    <row r="32" spans="1:7" x14ac:dyDescent="0.3">
      <c r="A32" t="s">
        <v>180</v>
      </c>
      <c r="B32" t="s">
        <v>285</v>
      </c>
      <c r="C32" t="s">
        <v>0</v>
      </c>
      <c r="D32" t="s">
        <v>27</v>
      </c>
      <c r="E32" t="s">
        <v>5</v>
      </c>
      <c r="F32">
        <v>9.1011000000000006</v>
      </c>
      <c r="G32" t="s">
        <v>239</v>
      </c>
    </row>
    <row r="33" spans="1:7" x14ac:dyDescent="0.3">
      <c r="A33" t="s">
        <v>180</v>
      </c>
      <c r="B33" t="s">
        <v>285</v>
      </c>
      <c r="C33" t="s">
        <v>1</v>
      </c>
      <c r="D33" t="s">
        <v>27</v>
      </c>
      <c r="E33" t="s">
        <v>5</v>
      </c>
      <c r="F33">
        <v>7.4663000000000004</v>
      </c>
      <c r="G33" t="s">
        <v>239</v>
      </c>
    </row>
    <row r="34" spans="1:7" x14ac:dyDescent="0.3">
      <c r="A34" t="s">
        <v>180</v>
      </c>
      <c r="B34" t="s">
        <v>285</v>
      </c>
      <c r="C34" t="s">
        <v>2</v>
      </c>
      <c r="D34" t="s">
        <v>27</v>
      </c>
      <c r="E34" t="s">
        <v>5</v>
      </c>
      <c r="F34">
        <v>8.3277000000000001</v>
      </c>
      <c r="G34" t="s">
        <v>239</v>
      </c>
    </row>
    <row r="35" spans="1:7" x14ac:dyDescent="0.3">
      <c r="A35" t="s">
        <v>180</v>
      </c>
      <c r="B35" t="s">
        <v>285</v>
      </c>
      <c r="C35" t="s">
        <v>3</v>
      </c>
      <c r="D35" t="s">
        <v>27</v>
      </c>
      <c r="E35" t="s">
        <v>5</v>
      </c>
      <c r="F35">
        <v>10.0078</v>
      </c>
      <c r="G35" t="s">
        <v>239</v>
      </c>
    </row>
    <row r="36" spans="1:7" x14ac:dyDescent="0.3">
      <c r="A36" t="s">
        <v>180</v>
      </c>
      <c r="B36" t="s">
        <v>285</v>
      </c>
      <c r="C36" t="s">
        <v>4</v>
      </c>
      <c r="D36" t="s">
        <v>27</v>
      </c>
      <c r="E36" t="s">
        <v>5</v>
      </c>
      <c r="F36">
        <v>11.9504</v>
      </c>
      <c r="G36" t="s">
        <v>239</v>
      </c>
    </row>
    <row r="37" spans="1:7" x14ac:dyDescent="0.3">
      <c r="A37" t="s">
        <v>180</v>
      </c>
      <c r="B37" t="s">
        <v>285</v>
      </c>
      <c r="C37" t="s">
        <v>179</v>
      </c>
      <c r="D37" t="s">
        <v>27</v>
      </c>
      <c r="E37" t="s">
        <v>5</v>
      </c>
      <c r="F37">
        <v>14.1625</v>
      </c>
      <c r="G37" t="s">
        <v>239</v>
      </c>
    </row>
    <row r="38" spans="1:7" x14ac:dyDescent="0.3">
      <c r="A38" t="s">
        <v>180</v>
      </c>
      <c r="B38" t="s">
        <v>132</v>
      </c>
      <c r="C38" t="s">
        <v>176</v>
      </c>
      <c r="D38" t="s">
        <v>27</v>
      </c>
      <c r="E38" t="s">
        <v>5</v>
      </c>
      <c r="F38">
        <v>0.76919999999999999</v>
      </c>
      <c r="G38" t="s">
        <v>239</v>
      </c>
    </row>
    <row r="39" spans="1:7" x14ac:dyDescent="0.3">
      <c r="A39" t="s">
        <v>180</v>
      </c>
      <c r="B39" t="s">
        <v>132</v>
      </c>
      <c r="C39" t="s">
        <v>177</v>
      </c>
      <c r="D39" t="s">
        <v>27</v>
      </c>
      <c r="E39" t="s">
        <v>5</v>
      </c>
      <c r="F39">
        <v>0.83260000000000001</v>
      </c>
      <c r="G39" t="s">
        <v>239</v>
      </c>
    </row>
    <row r="40" spans="1:7" x14ac:dyDescent="0.3">
      <c r="A40" t="s">
        <v>180</v>
      </c>
      <c r="B40" t="s">
        <v>132</v>
      </c>
      <c r="C40" t="s">
        <v>178</v>
      </c>
      <c r="D40" t="s">
        <v>27</v>
      </c>
      <c r="E40" t="s">
        <v>5</v>
      </c>
      <c r="F40">
        <v>1.1879</v>
      </c>
      <c r="G40" t="s">
        <v>239</v>
      </c>
    </row>
    <row r="41" spans="1:7" x14ac:dyDescent="0.3">
      <c r="A41" t="s">
        <v>180</v>
      </c>
      <c r="B41" t="s">
        <v>132</v>
      </c>
      <c r="C41" t="s">
        <v>0</v>
      </c>
      <c r="D41" t="s">
        <v>27</v>
      </c>
      <c r="E41" t="s">
        <v>5</v>
      </c>
      <c r="F41">
        <v>1.4573</v>
      </c>
      <c r="G41" t="s">
        <v>239</v>
      </c>
    </row>
    <row r="42" spans="1:7" x14ac:dyDescent="0.3">
      <c r="A42" t="s">
        <v>180</v>
      </c>
      <c r="B42" t="s">
        <v>132</v>
      </c>
      <c r="C42" t="s">
        <v>1</v>
      </c>
      <c r="D42" t="s">
        <v>27</v>
      </c>
      <c r="E42" t="s">
        <v>5</v>
      </c>
      <c r="F42">
        <v>1.9302999999999999</v>
      </c>
      <c r="G42" t="s">
        <v>239</v>
      </c>
    </row>
    <row r="43" spans="1:7" x14ac:dyDescent="0.3">
      <c r="A43" t="s">
        <v>180</v>
      </c>
      <c r="B43" t="s">
        <v>132</v>
      </c>
      <c r="C43" t="s">
        <v>2</v>
      </c>
      <c r="D43" t="s">
        <v>27</v>
      </c>
      <c r="E43" t="s">
        <v>5</v>
      </c>
      <c r="F43">
        <v>1.6420999999999999</v>
      </c>
      <c r="G43" t="s">
        <v>239</v>
      </c>
    </row>
    <row r="44" spans="1:7" x14ac:dyDescent="0.3">
      <c r="A44" t="s">
        <v>180</v>
      </c>
      <c r="B44" t="s">
        <v>132</v>
      </c>
      <c r="C44" t="s">
        <v>3</v>
      </c>
      <c r="D44" t="s">
        <v>27</v>
      </c>
      <c r="E44" t="s">
        <v>5</v>
      </c>
      <c r="F44">
        <v>2.4649000000000001</v>
      </c>
      <c r="G44" t="s">
        <v>239</v>
      </c>
    </row>
    <row r="45" spans="1:7" x14ac:dyDescent="0.3">
      <c r="A45" t="s">
        <v>180</v>
      </c>
      <c r="B45" t="s">
        <v>132</v>
      </c>
      <c r="C45" t="s">
        <v>4</v>
      </c>
      <c r="D45" t="s">
        <v>27</v>
      </c>
      <c r="E45" t="s">
        <v>5</v>
      </c>
      <c r="F45">
        <v>1.8170999999999999</v>
      </c>
      <c r="G45" t="s">
        <v>239</v>
      </c>
    </row>
    <row r="46" spans="1:7" x14ac:dyDescent="0.3">
      <c r="A46" s="71" t="s">
        <v>180</v>
      </c>
      <c r="B46" s="71" t="s">
        <v>132</v>
      </c>
      <c r="C46" s="71" t="s">
        <v>179</v>
      </c>
      <c r="D46" s="71" t="s">
        <v>27</v>
      </c>
      <c r="E46" s="71" t="s">
        <v>5</v>
      </c>
      <c r="F46" s="71">
        <v>2.3051433282597666</v>
      </c>
      <c r="G46" s="71" t="s">
        <v>239</v>
      </c>
    </row>
    <row r="47" spans="1:7" x14ac:dyDescent="0.3">
      <c r="A47" t="s">
        <v>180</v>
      </c>
      <c r="B47" t="s">
        <v>284</v>
      </c>
      <c r="C47" t="s">
        <v>176</v>
      </c>
      <c r="D47" t="s">
        <v>27</v>
      </c>
      <c r="E47" t="s">
        <v>5</v>
      </c>
      <c r="F47">
        <v>0</v>
      </c>
      <c r="G47" t="s">
        <v>239</v>
      </c>
    </row>
    <row r="48" spans="1:7" x14ac:dyDescent="0.3">
      <c r="A48" t="s">
        <v>180</v>
      </c>
      <c r="B48" t="s">
        <v>284</v>
      </c>
      <c r="C48" t="s">
        <v>177</v>
      </c>
      <c r="D48" t="s">
        <v>27</v>
      </c>
      <c r="E48" t="s">
        <v>5</v>
      </c>
      <c r="F48">
        <v>0</v>
      </c>
      <c r="G48" t="s">
        <v>239</v>
      </c>
    </row>
    <row r="49" spans="1:7" x14ac:dyDescent="0.3">
      <c r="A49" t="s">
        <v>180</v>
      </c>
      <c r="B49" t="s">
        <v>284</v>
      </c>
      <c r="C49" t="s">
        <v>178</v>
      </c>
      <c r="D49" t="s">
        <v>27</v>
      </c>
      <c r="E49" t="s">
        <v>5</v>
      </c>
      <c r="F49">
        <v>0</v>
      </c>
      <c r="G49" t="s">
        <v>239</v>
      </c>
    </row>
    <row r="50" spans="1:7" x14ac:dyDescent="0.3">
      <c r="A50" t="s">
        <v>180</v>
      </c>
      <c r="B50" t="s">
        <v>284</v>
      </c>
      <c r="C50" t="s">
        <v>0</v>
      </c>
      <c r="D50" t="s">
        <v>27</v>
      </c>
      <c r="E50" t="s">
        <v>5</v>
      </c>
      <c r="F50">
        <v>0</v>
      </c>
      <c r="G50" t="s">
        <v>239</v>
      </c>
    </row>
    <row r="51" spans="1:7" x14ac:dyDescent="0.3">
      <c r="A51" t="s">
        <v>180</v>
      </c>
      <c r="B51" t="s">
        <v>284</v>
      </c>
      <c r="C51" t="s">
        <v>1</v>
      </c>
      <c r="D51" t="s">
        <v>27</v>
      </c>
      <c r="E51" t="s">
        <v>5</v>
      </c>
      <c r="F51">
        <v>0</v>
      </c>
      <c r="G51" t="s">
        <v>239</v>
      </c>
    </row>
    <row r="52" spans="1:7" x14ac:dyDescent="0.3">
      <c r="A52" t="s">
        <v>180</v>
      </c>
      <c r="B52" t="s">
        <v>284</v>
      </c>
      <c r="C52" t="s">
        <v>2</v>
      </c>
      <c r="D52" t="s">
        <v>27</v>
      </c>
      <c r="E52" t="s">
        <v>5</v>
      </c>
      <c r="F52">
        <v>0</v>
      </c>
      <c r="G52" t="s">
        <v>239</v>
      </c>
    </row>
    <row r="53" spans="1:7" x14ac:dyDescent="0.3">
      <c r="A53" t="s">
        <v>180</v>
      </c>
      <c r="B53" t="s">
        <v>284</v>
      </c>
      <c r="C53" t="s">
        <v>3</v>
      </c>
      <c r="D53" t="s">
        <v>27</v>
      </c>
      <c r="E53" t="s">
        <v>5</v>
      </c>
      <c r="F53">
        <v>0</v>
      </c>
      <c r="G53" t="s">
        <v>239</v>
      </c>
    </row>
    <row r="54" spans="1:7" x14ac:dyDescent="0.3">
      <c r="A54" t="s">
        <v>180</v>
      </c>
      <c r="B54" t="s">
        <v>284</v>
      </c>
      <c r="C54" t="s">
        <v>4</v>
      </c>
      <c r="D54" t="s">
        <v>27</v>
      </c>
      <c r="E54" t="s">
        <v>5</v>
      </c>
      <c r="F54">
        <v>0</v>
      </c>
      <c r="G54" t="s">
        <v>239</v>
      </c>
    </row>
    <row r="55" spans="1:7" x14ac:dyDescent="0.3">
      <c r="A55" t="s">
        <v>180</v>
      </c>
      <c r="B55" t="s">
        <v>284</v>
      </c>
      <c r="C55" t="s">
        <v>179</v>
      </c>
      <c r="D55" t="s">
        <v>27</v>
      </c>
      <c r="E55" t="s">
        <v>5</v>
      </c>
      <c r="F55">
        <v>0</v>
      </c>
      <c r="G55" t="s">
        <v>239</v>
      </c>
    </row>
    <row r="56" spans="1:7" x14ac:dyDescent="0.3">
      <c r="A56" t="s">
        <v>180</v>
      </c>
      <c r="B56" t="s">
        <v>283</v>
      </c>
      <c r="C56" t="s">
        <v>176</v>
      </c>
      <c r="D56" t="s">
        <v>27</v>
      </c>
      <c r="E56" t="s">
        <v>5</v>
      </c>
      <c r="F56">
        <v>0</v>
      </c>
      <c r="G56" t="s">
        <v>239</v>
      </c>
    </row>
    <row r="57" spans="1:7" x14ac:dyDescent="0.3">
      <c r="A57" t="s">
        <v>180</v>
      </c>
      <c r="B57" t="s">
        <v>283</v>
      </c>
      <c r="C57" t="s">
        <v>177</v>
      </c>
      <c r="D57" t="s">
        <v>27</v>
      </c>
      <c r="E57" t="s">
        <v>5</v>
      </c>
      <c r="F57">
        <v>0</v>
      </c>
      <c r="G57" t="s">
        <v>239</v>
      </c>
    </row>
    <row r="58" spans="1:7" x14ac:dyDescent="0.3">
      <c r="A58" t="s">
        <v>180</v>
      </c>
      <c r="B58" t="s">
        <v>283</v>
      </c>
      <c r="C58" t="s">
        <v>178</v>
      </c>
      <c r="D58" t="s">
        <v>27</v>
      </c>
      <c r="E58" t="s">
        <v>5</v>
      </c>
      <c r="F58">
        <v>0</v>
      </c>
      <c r="G58" t="s">
        <v>239</v>
      </c>
    </row>
    <row r="59" spans="1:7" x14ac:dyDescent="0.3">
      <c r="A59" t="s">
        <v>180</v>
      </c>
      <c r="B59" t="s">
        <v>283</v>
      </c>
      <c r="C59" t="s">
        <v>0</v>
      </c>
      <c r="D59" t="s">
        <v>27</v>
      </c>
      <c r="E59" t="s">
        <v>5</v>
      </c>
      <c r="F59">
        <v>0</v>
      </c>
      <c r="G59" t="s">
        <v>239</v>
      </c>
    </row>
    <row r="60" spans="1:7" x14ac:dyDescent="0.3">
      <c r="A60" t="s">
        <v>180</v>
      </c>
      <c r="B60" t="s">
        <v>283</v>
      </c>
      <c r="C60" t="s">
        <v>1</v>
      </c>
      <c r="D60" t="s">
        <v>27</v>
      </c>
      <c r="E60" t="s">
        <v>5</v>
      </c>
      <c r="F60">
        <v>0</v>
      </c>
      <c r="G60" t="s">
        <v>239</v>
      </c>
    </row>
    <row r="61" spans="1:7" x14ac:dyDescent="0.3">
      <c r="A61" t="s">
        <v>180</v>
      </c>
      <c r="B61" t="s">
        <v>283</v>
      </c>
      <c r="C61" t="s">
        <v>2</v>
      </c>
      <c r="D61" t="s">
        <v>27</v>
      </c>
      <c r="E61" t="s">
        <v>5</v>
      </c>
      <c r="F61">
        <v>0</v>
      </c>
      <c r="G61" t="s">
        <v>239</v>
      </c>
    </row>
    <row r="62" spans="1:7" x14ac:dyDescent="0.3">
      <c r="A62" t="s">
        <v>180</v>
      </c>
      <c r="B62" t="s">
        <v>283</v>
      </c>
      <c r="C62" t="s">
        <v>3</v>
      </c>
      <c r="D62" t="s">
        <v>27</v>
      </c>
      <c r="E62" t="s">
        <v>5</v>
      </c>
      <c r="F62">
        <v>0</v>
      </c>
      <c r="G62" t="s">
        <v>239</v>
      </c>
    </row>
    <row r="63" spans="1:7" x14ac:dyDescent="0.3">
      <c r="A63" t="s">
        <v>180</v>
      </c>
      <c r="B63" t="s">
        <v>283</v>
      </c>
      <c r="C63" t="s">
        <v>4</v>
      </c>
      <c r="D63" t="s">
        <v>27</v>
      </c>
      <c r="E63" t="s">
        <v>5</v>
      </c>
      <c r="F63">
        <v>0</v>
      </c>
      <c r="G63" t="s">
        <v>239</v>
      </c>
    </row>
    <row r="64" spans="1:7" x14ac:dyDescent="0.3">
      <c r="A64" t="s">
        <v>180</v>
      </c>
      <c r="B64" t="s">
        <v>283</v>
      </c>
      <c r="C64" t="s">
        <v>179</v>
      </c>
      <c r="D64" t="s">
        <v>27</v>
      </c>
      <c r="E64" t="s">
        <v>5</v>
      </c>
      <c r="F64">
        <v>0</v>
      </c>
      <c r="G64" t="s">
        <v>239</v>
      </c>
    </row>
    <row r="65" spans="1:7" x14ac:dyDescent="0.3">
      <c r="A65" t="s">
        <v>180</v>
      </c>
      <c r="B65" t="s">
        <v>282</v>
      </c>
      <c r="C65" t="s">
        <v>176</v>
      </c>
      <c r="D65" t="s">
        <v>27</v>
      </c>
      <c r="E65" t="s">
        <v>5</v>
      </c>
      <c r="F65">
        <v>0.36130000000000001</v>
      </c>
      <c r="G65" t="s">
        <v>239</v>
      </c>
    </row>
    <row r="66" spans="1:7" x14ac:dyDescent="0.3">
      <c r="A66" t="s">
        <v>180</v>
      </c>
      <c r="B66" t="s">
        <v>282</v>
      </c>
      <c r="C66" t="s">
        <v>177</v>
      </c>
      <c r="D66" t="s">
        <v>27</v>
      </c>
      <c r="E66" t="s">
        <v>5</v>
      </c>
      <c r="F66">
        <v>0.438</v>
      </c>
      <c r="G66" t="s">
        <v>239</v>
      </c>
    </row>
    <row r="67" spans="1:7" x14ac:dyDescent="0.3">
      <c r="A67" t="s">
        <v>180</v>
      </c>
      <c r="B67" t="s">
        <v>282</v>
      </c>
      <c r="C67" t="s">
        <v>178</v>
      </c>
      <c r="D67" t="s">
        <v>27</v>
      </c>
      <c r="E67" t="s">
        <v>5</v>
      </c>
      <c r="F67">
        <v>0.66920000000000002</v>
      </c>
      <c r="G67" t="s">
        <v>239</v>
      </c>
    </row>
    <row r="68" spans="1:7" x14ac:dyDescent="0.3">
      <c r="A68" t="s">
        <v>180</v>
      </c>
      <c r="B68" t="s">
        <v>282</v>
      </c>
      <c r="C68" t="s">
        <v>0</v>
      </c>
      <c r="D68" t="s">
        <v>27</v>
      </c>
      <c r="E68" t="s">
        <v>5</v>
      </c>
      <c r="F68">
        <v>0.81169999999999998</v>
      </c>
      <c r="G68" t="s">
        <v>239</v>
      </c>
    </row>
    <row r="69" spans="1:7" x14ac:dyDescent="0.3">
      <c r="A69" t="s">
        <v>180</v>
      </c>
      <c r="B69" t="s">
        <v>282</v>
      </c>
      <c r="C69" t="s">
        <v>1</v>
      </c>
      <c r="D69" t="s">
        <v>27</v>
      </c>
      <c r="E69" t="s">
        <v>5</v>
      </c>
      <c r="F69">
        <v>0.8226</v>
      </c>
      <c r="G69" t="s">
        <v>239</v>
      </c>
    </row>
    <row r="70" spans="1:7" x14ac:dyDescent="0.3">
      <c r="A70" s="71" t="s">
        <v>180</v>
      </c>
      <c r="B70" s="71" t="s">
        <v>282</v>
      </c>
      <c r="C70" s="71" t="s">
        <v>2</v>
      </c>
      <c r="D70" s="71" t="s">
        <v>27</v>
      </c>
      <c r="E70" s="71" t="s">
        <v>5</v>
      </c>
      <c r="F70" s="71">
        <v>1.8284500253678335</v>
      </c>
      <c r="G70" s="71" t="s">
        <v>239</v>
      </c>
    </row>
    <row r="71" spans="1:7" x14ac:dyDescent="0.3">
      <c r="A71" s="71" t="s">
        <v>180</v>
      </c>
      <c r="B71" s="71" t="s">
        <v>282</v>
      </c>
      <c r="C71" s="71" t="s">
        <v>3</v>
      </c>
      <c r="D71" s="71" t="s">
        <v>27</v>
      </c>
      <c r="E71" s="71" t="s">
        <v>5</v>
      </c>
      <c r="F71" s="71">
        <v>4.5384639776763063</v>
      </c>
      <c r="G71" s="71" t="s">
        <v>239</v>
      </c>
    </row>
    <row r="72" spans="1:7" x14ac:dyDescent="0.3">
      <c r="A72" s="71" t="s">
        <v>180</v>
      </c>
      <c r="B72" s="71" t="s">
        <v>282</v>
      </c>
      <c r="C72" s="71" t="s">
        <v>4</v>
      </c>
      <c r="D72" s="71" t="s">
        <v>27</v>
      </c>
      <c r="E72" s="71" t="s">
        <v>5</v>
      </c>
      <c r="F72" s="71">
        <v>5.2464167935058343</v>
      </c>
      <c r="G72" s="71" t="s">
        <v>239</v>
      </c>
    </row>
    <row r="73" spans="1:7" x14ac:dyDescent="0.3">
      <c r="A73" s="71" t="s">
        <v>180</v>
      </c>
      <c r="B73" s="71" t="s">
        <v>282</v>
      </c>
      <c r="C73" s="71" t="s">
        <v>179</v>
      </c>
      <c r="D73" s="71" t="s">
        <v>27</v>
      </c>
      <c r="E73" s="71" t="s">
        <v>5</v>
      </c>
      <c r="F73" s="71">
        <v>6.5222919837645863</v>
      </c>
      <c r="G73" s="71" t="s">
        <v>239</v>
      </c>
    </row>
    <row r="74" spans="1:7" x14ac:dyDescent="0.3">
      <c r="A74" t="s">
        <v>180</v>
      </c>
      <c r="B74" t="s">
        <v>20</v>
      </c>
      <c r="C74" t="s">
        <v>176</v>
      </c>
      <c r="D74" t="s">
        <v>27</v>
      </c>
      <c r="E74" t="s">
        <v>5</v>
      </c>
      <c r="F74">
        <v>1.4800000000000001E-2</v>
      </c>
      <c r="G74" t="s">
        <v>239</v>
      </c>
    </row>
    <row r="75" spans="1:7" x14ac:dyDescent="0.3">
      <c r="A75" t="s">
        <v>180</v>
      </c>
      <c r="B75" t="s">
        <v>20</v>
      </c>
      <c r="C75" t="s">
        <v>177</v>
      </c>
      <c r="D75" t="s">
        <v>27</v>
      </c>
      <c r="E75" t="s">
        <v>5</v>
      </c>
      <c r="F75">
        <v>8.5599999999999996E-2</v>
      </c>
      <c r="G75" t="s">
        <v>239</v>
      </c>
    </row>
    <row r="76" spans="1:7" x14ac:dyDescent="0.3">
      <c r="A76" t="s">
        <v>180</v>
      </c>
      <c r="B76" t="s">
        <v>20</v>
      </c>
      <c r="C76" t="s">
        <v>178</v>
      </c>
      <c r="D76" t="s">
        <v>27</v>
      </c>
      <c r="E76" t="s">
        <v>5</v>
      </c>
      <c r="F76">
        <v>0.62539999999999996</v>
      </c>
      <c r="G76" t="s">
        <v>239</v>
      </c>
    </row>
    <row r="77" spans="1:7" x14ac:dyDescent="0.3">
      <c r="A77" t="s">
        <v>180</v>
      </c>
      <c r="B77" t="s">
        <v>20</v>
      </c>
      <c r="C77" t="s">
        <v>0</v>
      </c>
      <c r="D77" t="s">
        <v>27</v>
      </c>
      <c r="E77" t="s">
        <v>5</v>
      </c>
      <c r="F77">
        <v>0.78610000000000002</v>
      </c>
      <c r="G77" t="s">
        <v>239</v>
      </c>
    </row>
    <row r="78" spans="1:7" x14ac:dyDescent="0.3">
      <c r="A78" t="s">
        <v>180</v>
      </c>
      <c r="B78" t="s">
        <v>20</v>
      </c>
      <c r="C78" t="s">
        <v>1</v>
      </c>
      <c r="D78" t="s">
        <v>27</v>
      </c>
      <c r="E78" t="s">
        <v>5</v>
      </c>
      <c r="F78">
        <v>0.94769999999999999</v>
      </c>
      <c r="G78" t="s">
        <v>239</v>
      </c>
    </row>
    <row r="79" spans="1:7" x14ac:dyDescent="0.3">
      <c r="A79" t="s">
        <v>180</v>
      </c>
      <c r="B79" t="s">
        <v>20</v>
      </c>
      <c r="C79" t="s">
        <v>2</v>
      </c>
      <c r="D79" t="s">
        <v>27</v>
      </c>
      <c r="E79" t="s">
        <v>5</v>
      </c>
      <c r="F79">
        <v>0.82979999999999998</v>
      </c>
      <c r="G79" t="s">
        <v>239</v>
      </c>
    </row>
    <row r="80" spans="1:7" x14ac:dyDescent="0.3">
      <c r="A80" t="s">
        <v>180</v>
      </c>
      <c r="B80" t="s">
        <v>20</v>
      </c>
      <c r="C80" t="s">
        <v>3</v>
      </c>
      <c r="D80" t="s">
        <v>27</v>
      </c>
      <c r="E80" t="s">
        <v>5</v>
      </c>
      <c r="F80">
        <v>2.4904000000000002</v>
      </c>
      <c r="G80" t="s">
        <v>239</v>
      </c>
    </row>
    <row r="81" spans="1:7" x14ac:dyDescent="0.3">
      <c r="A81" t="s">
        <v>180</v>
      </c>
      <c r="B81" t="s">
        <v>20</v>
      </c>
      <c r="C81" t="s">
        <v>4</v>
      </c>
      <c r="D81" t="s">
        <v>27</v>
      </c>
      <c r="E81" t="s">
        <v>5</v>
      </c>
      <c r="F81">
        <v>3.7391999999999999</v>
      </c>
      <c r="G81" t="s">
        <v>239</v>
      </c>
    </row>
    <row r="82" spans="1:7" x14ac:dyDescent="0.3">
      <c r="A82" t="s">
        <v>180</v>
      </c>
      <c r="B82" t="s">
        <v>20</v>
      </c>
      <c r="C82" t="s">
        <v>179</v>
      </c>
      <c r="D82" t="s">
        <v>27</v>
      </c>
      <c r="E82" t="s">
        <v>5</v>
      </c>
      <c r="F82">
        <v>4.5922000000000001</v>
      </c>
      <c r="G82" t="s">
        <v>239</v>
      </c>
    </row>
    <row r="83" spans="1:7" x14ac:dyDescent="0.3">
      <c r="A83" t="s">
        <v>180</v>
      </c>
      <c r="B83" t="s">
        <v>169</v>
      </c>
      <c r="C83" t="s">
        <v>176</v>
      </c>
      <c r="D83" t="s">
        <v>27</v>
      </c>
      <c r="E83" t="s">
        <v>5</v>
      </c>
      <c r="F83">
        <v>0</v>
      </c>
      <c r="G83" t="s">
        <v>239</v>
      </c>
    </row>
    <row r="84" spans="1:7" x14ac:dyDescent="0.3">
      <c r="A84" t="s">
        <v>180</v>
      </c>
      <c r="B84" t="s">
        <v>169</v>
      </c>
      <c r="C84" t="s">
        <v>177</v>
      </c>
      <c r="D84" t="s">
        <v>27</v>
      </c>
      <c r="E84" t="s">
        <v>5</v>
      </c>
      <c r="F84">
        <v>0</v>
      </c>
      <c r="G84" t="s">
        <v>239</v>
      </c>
    </row>
    <row r="85" spans="1:7" x14ac:dyDescent="0.3">
      <c r="A85" t="s">
        <v>180</v>
      </c>
      <c r="B85" t="s">
        <v>169</v>
      </c>
      <c r="C85" t="s">
        <v>178</v>
      </c>
      <c r="D85" t="s">
        <v>27</v>
      </c>
      <c r="E85" t="s">
        <v>5</v>
      </c>
      <c r="F85">
        <v>5.4000000000000003E-3</v>
      </c>
      <c r="G85" t="s">
        <v>239</v>
      </c>
    </row>
    <row r="86" spans="1:7" x14ac:dyDescent="0.3">
      <c r="A86" t="s">
        <v>180</v>
      </c>
      <c r="B86" t="s">
        <v>169</v>
      </c>
      <c r="C86" t="s">
        <v>0</v>
      </c>
      <c r="D86" t="s">
        <v>27</v>
      </c>
      <c r="E86" t="s">
        <v>5</v>
      </c>
      <c r="F86">
        <v>4.3E-3</v>
      </c>
      <c r="G86" t="s">
        <v>239</v>
      </c>
    </row>
    <row r="87" spans="1:7" x14ac:dyDescent="0.3">
      <c r="A87" t="s">
        <v>180</v>
      </c>
      <c r="B87" t="s">
        <v>169</v>
      </c>
      <c r="C87" t="s">
        <v>1</v>
      </c>
      <c r="D87" t="s">
        <v>27</v>
      </c>
      <c r="E87" t="s">
        <v>5</v>
      </c>
      <c r="F87">
        <v>5.0200000000000002E-2</v>
      </c>
      <c r="G87" t="s">
        <v>239</v>
      </c>
    </row>
    <row r="88" spans="1:7" x14ac:dyDescent="0.3">
      <c r="A88" t="s">
        <v>180</v>
      </c>
      <c r="B88" t="s">
        <v>169</v>
      </c>
      <c r="C88" t="s">
        <v>2</v>
      </c>
      <c r="D88" t="s">
        <v>27</v>
      </c>
      <c r="E88" t="s">
        <v>5</v>
      </c>
      <c r="F88">
        <v>2.75E-2</v>
      </c>
      <c r="G88" t="s">
        <v>239</v>
      </c>
    </row>
    <row r="89" spans="1:7" x14ac:dyDescent="0.3">
      <c r="A89" t="s">
        <v>180</v>
      </c>
      <c r="B89" t="s">
        <v>169</v>
      </c>
      <c r="C89" t="s">
        <v>3</v>
      </c>
      <c r="D89" t="s">
        <v>27</v>
      </c>
      <c r="E89" t="s">
        <v>5</v>
      </c>
      <c r="F89">
        <v>1.47E-2</v>
      </c>
      <c r="G89" t="s">
        <v>239</v>
      </c>
    </row>
    <row r="90" spans="1:7" x14ac:dyDescent="0.3">
      <c r="A90" t="s">
        <v>180</v>
      </c>
      <c r="B90" t="s">
        <v>169</v>
      </c>
      <c r="C90" t="s">
        <v>4</v>
      </c>
      <c r="D90" t="s">
        <v>27</v>
      </c>
      <c r="E90" t="s">
        <v>5</v>
      </c>
      <c r="F90">
        <v>0.01</v>
      </c>
      <c r="G90" t="s">
        <v>239</v>
      </c>
    </row>
    <row r="91" spans="1:7" x14ac:dyDescent="0.3">
      <c r="A91" t="s">
        <v>180</v>
      </c>
      <c r="B91" t="s">
        <v>169</v>
      </c>
      <c r="C91" t="s">
        <v>179</v>
      </c>
      <c r="D91" t="s">
        <v>27</v>
      </c>
      <c r="E91" t="s">
        <v>5</v>
      </c>
      <c r="F91">
        <v>1.7399999999999999E-2</v>
      </c>
      <c r="G91" t="s">
        <v>239</v>
      </c>
    </row>
    <row r="92" spans="1:7" x14ac:dyDescent="0.3">
      <c r="A92" t="s">
        <v>180</v>
      </c>
      <c r="B92" t="s">
        <v>281</v>
      </c>
      <c r="C92" t="s">
        <v>176</v>
      </c>
      <c r="D92" t="s">
        <v>27</v>
      </c>
      <c r="E92" t="s">
        <v>5</v>
      </c>
      <c r="F92">
        <v>0</v>
      </c>
      <c r="G92" t="s">
        <v>239</v>
      </c>
    </row>
    <row r="93" spans="1:7" x14ac:dyDescent="0.3">
      <c r="A93" t="s">
        <v>180</v>
      </c>
      <c r="B93" t="s">
        <v>281</v>
      </c>
      <c r="C93" t="s">
        <v>177</v>
      </c>
      <c r="D93" t="s">
        <v>27</v>
      </c>
      <c r="E93" t="s">
        <v>5</v>
      </c>
      <c r="F93">
        <v>0</v>
      </c>
      <c r="G93" t="s">
        <v>239</v>
      </c>
    </row>
    <row r="94" spans="1:7" x14ac:dyDescent="0.3">
      <c r="A94" t="s">
        <v>180</v>
      </c>
      <c r="B94" t="s">
        <v>281</v>
      </c>
      <c r="C94" t="s">
        <v>178</v>
      </c>
      <c r="D94" t="s">
        <v>27</v>
      </c>
      <c r="E94" t="s">
        <v>5</v>
      </c>
      <c r="F94">
        <v>0</v>
      </c>
      <c r="G94" t="s">
        <v>239</v>
      </c>
    </row>
    <row r="95" spans="1:7" x14ac:dyDescent="0.3">
      <c r="A95" t="s">
        <v>180</v>
      </c>
      <c r="B95" t="s">
        <v>281</v>
      </c>
      <c r="C95" t="s">
        <v>0</v>
      </c>
      <c r="D95" t="s">
        <v>27</v>
      </c>
      <c r="E95" t="s">
        <v>5</v>
      </c>
      <c r="F95">
        <v>0</v>
      </c>
      <c r="G95" t="s">
        <v>239</v>
      </c>
    </row>
    <row r="96" spans="1:7" x14ac:dyDescent="0.3">
      <c r="A96" t="s">
        <v>180</v>
      </c>
      <c r="B96" t="s">
        <v>281</v>
      </c>
      <c r="C96" t="s">
        <v>1</v>
      </c>
      <c r="D96" t="s">
        <v>27</v>
      </c>
      <c r="E96" t="s">
        <v>5</v>
      </c>
      <c r="F96">
        <v>0</v>
      </c>
      <c r="G96" t="s">
        <v>239</v>
      </c>
    </row>
    <row r="97" spans="1:7" x14ac:dyDescent="0.3">
      <c r="A97" t="s">
        <v>180</v>
      </c>
      <c r="B97" t="s">
        <v>281</v>
      </c>
      <c r="C97" t="s">
        <v>2</v>
      </c>
      <c r="D97" t="s">
        <v>27</v>
      </c>
      <c r="E97" t="s">
        <v>5</v>
      </c>
      <c r="F97">
        <v>0</v>
      </c>
      <c r="G97" t="s">
        <v>239</v>
      </c>
    </row>
    <row r="98" spans="1:7" x14ac:dyDescent="0.3">
      <c r="A98" t="s">
        <v>180</v>
      </c>
      <c r="B98" t="s">
        <v>281</v>
      </c>
      <c r="C98" t="s">
        <v>3</v>
      </c>
      <c r="D98" t="s">
        <v>27</v>
      </c>
      <c r="E98" t="s">
        <v>5</v>
      </c>
      <c r="F98">
        <v>0</v>
      </c>
      <c r="G98" t="s">
        <v>239</v>
      </c>
    </row>
    <row r="99" spans="1:7" x14ac:dyDescent="0.3">
      <c r="A99" t="s">
        <v>180</v>
      </c>
      <c r="B99" t="s">
        <v>281</v>
      </c>
      <c r="C99" t="s">
        <v>4</v>
      </c>
      <c r="D99" t="s">
        <v>27</v>
      </c>
      <c r="E99" t="s">
        <v>5</v>
      </c>
      <c r="F99">
        <v>0</v>
      </c>
      <c r="G99" t="s">
        <v>239</v>
      </c>
    </row>
    <row r="100" spans="1:7" x14ac:dyDescent="0.3">
      <c r="A100" t="s">
        <v>180</v>
      </c>
      <c r="B100" t="s">
        <v>281</v>
      </c>
      <c r="C100" t="s">
        <v>179</v>
      </c>
      <c r="D100" t="s">
        <v>27</v>
      </c>
      <c r="E100" t="s">
        <v>5</v>
      </c>
      <c r="F100">
        <v>0</v>
      </c>
      <c r="G100" t="s">
        <v>239</v>
      </c>
    </row>
    <row r="101" spans="1:7" x14ac:dyDescent="0.3">
      <c r="A101" t="s">
        <v>180</v>
      </c>
      <c r="B101" t="s">
        <v>280</v>
      </c>
      <c r="C101" t="s">
        <v>176</v>
      </c>
      <c r="D101" t="s">
        <v>27</v>
      </c>
      <c r="E101" t="s">
        <v>5</v>
      </c>
      <c r="F101">
        <v>1.9199999999999998E-2</v>
      </c>
      <c r="G101" t="s">
        <v>239</v>
      </c>
    </row>
    <row r="102" spans="1:7" x14ac:dyDescent="0.3">
      <c r="A102" t="s">
        <v>180</v>
      </c>
      <c r="B102" t="s">
        <v>280</v>
      </c>
      <c r="C102" t="s">
        <v>177</v>
      </c>
      <c r="D102" t="s">
        <v>27</v>
      </c>
      <c r="E102" t="s">
        <v>5</v>
      </c>
      <c r="F102">
        <v>8.8999999999999999E-3</v>
      </c>
      <c r="G102" t="s">
        <v>239</v>
      </c>
    </row>
    <row r="103" spans="1:7" x14ac:dyDescent="0.3">
      <c r="A103" t="s">
        <v>180</v>
      </c>
      <c r="B103" t="s">
        <v>280</v>
      </c>
      <c r="C103" t="s">
        <v>178</v>
      </c>
      <c r="D103" t="s">
        <v>27</v>
      </c>
      <c r="E103" t="s">
        <v>5</v>
      </c>
      <c r="F103">
        <v>7.4999999999999997E-3</v>
      </c>
      <c r="G103" t="s">
        <v>239</v>
      </c>
    </row>
    <row r="104" spans="1:7" x14ac:dyDescent="0.3">
      <c r="A104" t="s">
        <v>180</v>
      </c>
      <c r="B104" t="s">
        <v>280</v>
      </c>
      <c r="C104" t="s">
        <v>0</v>
      </c>
      <c r="D104" t="s">
        <v>27</v>
      </c>
      <c r="E104" t="s">
        <v>5</v>
      </c>
      <c r="F104">
        <v>1.2999999999999999E-3</v>
      </c>
      <c r="G104" t="s">
        <v>239</v>
      </c>
    </row>
    <row r="105" spans="1:7" x14ac:dyDescent="0.3">
      <c r="A105" t="s">
        <v>180</v>
      </c>
      <c r="B105" t="s">
        <v>280</v>
      </c>
      <c r="C105" t="s">
        <v>1</v>
      </c>
      <c r="D105" t="s">
        <v>27</v>
      </c>
      <c r="E105" t="s">
        <v>5</v>
      </c>
      <c r="F105">
        <v>5.0000000000000001E-4</v>
      </c>
      <c r="G105" t="s">
        <v>239</v>
      </c>
    </row>
    <row r="106" spans="1:7" x14ac:dyDescent="0.3">
      <c r="A106" s="71" t="s">
        <v>180</v>
      </c>
      <c r="B106" s="71" t="s">
        <v>280</v>
      </c>
      <c r="C106" s="71" t="s">
        <v>2</v>
      </c>
      <c r="D106" s="71" t="s">
        <v>27</v>
      </c>
      <c r="E106" s="71" t="s">
        <v>5</v>
      </c>
      <c r="F106" s="71">
        <v>5.0000000000000001E-4</v>
      </c>
      <c r="G106" s="71" t="s">
        <v>239</v>
      </c>
    </row>
    <row r="107" spans="1:7" x14ac:dyDescent="0.3">
      <c r="A107" t="s">
        <v>180</v>
      </c>
      <c r="B107" t="s">
        <v>280</v>
      </c>
      <c r="C107" t="s">
        <v>3</v>
      </c>
      <c r="D107" t="s">
        <v>27</v>
      </c>
      <c r="E107" t="s">
        <v>5</v>
      </c>
      <c r="F107">
        <v>0</v>
      </c>
      <c r="G107" t="s">
        <v>239</v>
      </c>
    </row>
    <row r="108" spans="1:7" x14ac:dyDescent="0.3">
      <c r="A108" t="s">
        <v>180</v>
      </c>
      <c r="B108" t="s">
        <v>280</v>
      </c>
      <c r="C108" t="s">
        <v>4</v>
      </c>
      <c r="D108" t="s">
        <v>27</v>
      </c>
      <c r="E108" t="s">
        <v>5</v>
      </c>
      <c r="F108">
        <v>0</v>
      </c>
      <c r="G108" t="s">
        <v>239</v>
      </c>
    </row>
    <row r="109" spans="1:7" x14ac:dyDescent="0.3">
      <c r="A109" t="s">
        <v>180</v>
      </c>
      <c r="B109" t="s">
        <v>280</v>
      </c>
      <c r="C109" t="s">
        <v>179</v>
      </c>
      <c r="D109" t="s">
        <v>27</v>
      </c>
      <c r="E109" t="s">
        <v>5</v>
      </c>
      <c r="F109">
        <v>0</v>
      </c>
      <c r="G109" t="s">
        <v>239</v>
      </c>
    </row>
    <row r="110" spans="1:7" x14ac:dyDescent="0.3">
      <c r="A110" t="s">
        <v>180</v>
      </c>
      <c r="B110" t="s">
        <v>279</v>
      </c>
      <c r="C110" t="s">
        <v>176</v>
      </c>
      <c r="D110" t="s">
        <v>27</v>
      </c>
      <c r="E110" t="s">
        <v>5</v>
      </c>
      <c r="F110">
        <v>0</v>
      </c>
      <c r="G110" t="s">
        <v>239</v>
      </c>
    </row>
    <row r="111" spans="1:7" x14ac:dyDescent="0.3">
      <c r="A111" t="s">
        <v>180</v>
      </c>
      <c r="B111" t="s">
        <v>279</v>
      </c>
      <c r="C111" t="s">
        <v>177</v>
      </c>
      <c r="D111" t="s">
        <v>27</v>
      </c>
      <c r="E111" t="s">
        <v>5</v>
      </c>
      <c r="F111">
        <v>0</v>
      </c>
      <c r="G111" t="s">
        <v>239</v>
      </c>
    </row>
    <row r="112" spans="1:7" x14ac:dyDescent="0.3">
      <c r="A112" t="s">
        <v>180</v>
      </c>
      <c r="B112" t="s">
        <v>279</v>
      </c>
      <c r="C112" t="s">
        <v>178</v>
      </c>
      <c r="D112" t="s">
        <v>27</v>
      </c>
      <c r="E112" t="s">
        <v>5</v>
      </c>
      <c r="F112">
        <v>0</v>
      </c>
      <c r="G112" t="s">
        <v>239</v>
      </c>
    </row>
    <row r="113" spans="1:7" x14ac:dyDescent="0.3">
      <c r="A113" t="s">
        <v>180</v>
      </c>
      <c r="B113" t="s">
        <v>279</v>
      </c>
      <c r="C113" t="s">
        <v>0</v>
      </c>
      <c r="D113" t="s">
        <v>27</v>
      </c>
      <c r="E113" t="s">
        <v>5</v>
      </c>
      <c r="F113">
        <v>0</v>
      </c>
      <c r="G113" t="s">
        <v>239</v>
      </c>
    </row>
    <row r="114" spans="1:7" x14ac:dyDescent="0.3">
      <c r="A114" t="s">
        <v>180</v>
      </c>
      <c r="B114" t="s">
        <v>279</v>
      </c>
      <c r="C114" t="s">
        <v>1</v>
      </c>
      <c r="D114" t="s">
        <v>27</v>
      </c>
      <c r="E114" t="s">
        <v>5</v>
      </c>
      <c r="F114">
        <v>0</v>
      </c>
      <c r="G114" t="s">
        <v>239</v>
      </c>
    </row>
    <row r="115" spans="1:7" x14ac:dyDescent="0.3">
      <c r="A115" t="s">
        <v>180</v>
      </c>
      <c r="B115" t="s">
        <v>279</v>
      </c>
      <c r="C115" t="s">
        <v>2</v>
      </c>
      <c r="D115" t="s">
        <v>27</v>
      </c>
      <c r="E115" t="s">
        <v>5</v>
      </c>
      <c r="F115">
        <v>0</v>
      </c>
      <c r="G115" t="s">
        <v>239</v>
      </c>
    </row>
    <row r="116" spans="1:7" x14ac:dyDescent="0.3">
      <c r="A116" t="s">
        <v>180</v>
      </c>
      <c r="B116" t="s">
        <v>279</v>
      </c>
      <c r="C116" t="s">
        <v>3</v>
      </c>
      <c r="D116" t="s">
        <v>27</v>
      </c>
      <c r="E116" t="s">
        <v>5</v>
      </c>
      <c r="F116">
        <v>0</v>
      </c>
      <c r="G116" t="s">
        <v>239</v>
      </c>
    </row>
    <row r="117" spans="1:7" x14ac:dyDescent="0.3">
      <c r="A117" t="s">
        <v>180</v>
      </c>
      <c r="B117" t="s">
        <v>279</v>
      </c>
      <c r="C117" t="s">
        <v>4</v>
      </c>
      <c r="D117" t="s">
        <v>27</v>
      </c>
      <c r="E117" t="s">
        <v>5</v>
      </c>
      <c r="F117">
        <v>0</v>
      </c>
      <c r="G117" t="s">
        <v>239</v>
      </c>
    </row>
    <row r="118" spans="1:7" x14ac:dyDescent="0.3">
      <c r="A118" t="s">
        <v>180</v>
      </c>
      <c r="B118" t="s">
        <v>279</v>
      </c>
      <c r="C118" t="s">
        <v>179</v>
      </c>
      <c r="D118" t="s">
        <v>27</v>
      </c>
      <c r="E118" t="s">
        <v>5</v>
      </c>
      <c r="F118">
        <v>0</v>
      </c>
      <c r="G118" t="s">
        <v>239</v>
      </c>
    </row>
    <row r="119" spans="1:7" x14ac:dyDescent="0.3">
      <c r="A119" t="s">
        <v>180</v>
      </c>
      <c r="B119" t="s">
        <v>278</v>
      </c>
      <c r="C119" t="s">
        <v>176</v>
      </c>
      <c r="D119" t="s">
        <v>27</v>
      </c>
      <c r="E119" t="s">
        <v>5</v>
      </c>
      <c r="F119">
        <v>0</v>
      </c>
      <c r="G119" t="s">
        <v>239</v>
      </c>
    </row>
    <row r="120" spans="1:7" x14ac:dyDescent="0.3">
      <c r="A120" t="s">
        <v>180</v>
      </c>
      <c r="B120" t="s">
        <v>278</v>
      </c>
      <c r="C120" t="s">
        <v>177</v>
      </c>
      <c r="D120" t="s">
        <v>27</v>
      </c>
      <c r="E120" t="s">
        <v>5</v>
      </c>
      <c r="F120">
        <v>0</v>
      </c>
      <c r="G120" t="s">
        <v>239</v>
      </c>
    </row>
    <row r="121" spans="1:7" x14ac:dyDescent="0.3">
      <c r="A121" t="s">
        <v>180</v>
      </c>
      <c r="B121" t="s">
        <v>278</v>
      </c>
      <c r="C121" t="s">
        <v>178</v>
      </c>
      <c r="D121" t="s">
        <v>27</v>
      </c>
      <c r="E121" t="s">
        <v>5</v>
      </c>
      <c r="F121">
        <v>0</v>
      </c>
      <c r="G121" t="s">
        <v>239</v>
      </c>
    </row>
    <row r="122" spans="1:7" x14ac:dyDescent="0.3">
      <c r="A122" t="s">
        <v>180</v>
      </c>
      <c r="B122" t="s">
        <v>278</v>
      </c>
      <c r="C122" t="s">
        <v>0</v>
      </c>
      <c r="D122" t="s">
        <v>27</v>
      </c>
      <c r="E122" t="s">
        <v>5</v>
      </c>
      <c r="F122">
        <v>0</v>
      </c>
      <c r="G122" t="s">
        <v>239</v>
      </c>
    </row>
    <row r="123" spans="1:7" x14ac:dyDescent="0.3">
      <c r="A123" t="s">
        <v>180</v>
      </c>
      <c r="B123" t="s">
        <v>278</v>
      </c>
      <c r="C123" t="s">
        <v>1</v>
      </c>
      <c r="D123" t="s">
        <v>27</v>
      </c>
      <c r="E123" t="s">
        <v>5</v>
      </c>
      <c r="F123">
        <v>0</v>
      </c>
      <c r="G123" t="s">
        <v>239</v>
      </c>
    </row>
    <row r="124" spans="1:7" x14ac:dyDescent="0.3">
      <c r="A124" t="s">
        <v>180</v>
      </c>
      <c r="B124" t="s">
        <v>278</v>
      </c>
      <c r="C124" t="s">
        <v>2</v>
      </c>
      <c r="D124" t="s">
        <v>27</v>
      </c>
      <c r="E124" t="s">
        <v>5</v>
      </c>
      <c r="F124">
        <v>0</v>
      </c>
      <c r="G124" t="s">
        <v>239</v>
      </c>
    </row>
    <row r="125" spans="1:7" x14ac:dyDescent="0.3">
      <c r="A125" t="s">
        <v>180</v>
      </c>
      <c r="B125" t="s">
        <v>278</v>
      </c>
      <c r="C125" t="s">
        <v>3</v>
      </c>
      <c r="D125" t="s">
        <v>27</v>
      </c>
      <c r="E125" t="s">
        <v>5</v>
      </c>
      <c r="F125">
        <v>0</v>
      </c>
      <c r="G125" t="s">
        <v>239</v>
      </c>
    </row>
    <row r="126" spans="1:7" x14ac:dyDescent="0.3">
      <c r="A126" t="s">
        <v>180</v>
      </c>
      <c r="B126" t="s">
        <v>278</v>
      </c>
      <c r="C126" t="s">
        <v>4</v>
      </c>
      <c r="D126" t="s">
        <v>27</v>
      </c>
      <c r="E126" t="s">
        <v>5</v>
      </c>
      <c r="F126">
        <v>0</v>
      </c>
      <c r="G126" t="s">
        <v>239</v>
      </c>
    </row>
    <row r="127" spans="1:7" x14ac:dyDescent="0.3">
      <c r="A127" t="s">
        <v>180</v>
      </c>
      <c r="B127" t="s">
        <v>278</v>
      </c>
      <c r="C127" t="s">
        <v>179</v>
      </c>
      <c r="D127" t="s">
        <v>27</v>
      </c>
      <c r="E127" t="s">
        <v>5</v>
      </c>
      <c r="F127">
        <v>0</v>
      </c>
      <c r="G127" t="s">
        <v>239</v>
      </c>
    </row>
    <row r="128" spans="1:7" x14ac:dyDescent="0.3">
      <c r="A128" t="s">
        <v>180</v>
      </c>
      <c r="B128" t="s">
        <v>277</v>
      </c>
      <c r="C128" t="s">
        <v>176</v>
      </c>
      <c r="D128" t="s">
        <v>27</v>
      </c>
      <c r="E128" t="s">
        <v>5</v>
      </c>
      <c r="F128">
        <v>0</v>
      </c>
      <c r="G128" t="s">
        <v>239</v>
      </c>
    </row>
    <row r="129" spans="1:7" x14ac:dyDescent="0.3">
      <c r="A129" t="s">
        <v>180</v>
      </c>
      <c r="B129" t="s">
        <v>277</v>
      </c>
      <c r="C129" t="s">
        <v>177</v>
      </c>
      <c r="D129" t="s">
        <v>27</v>
      </c>
      <c r="E129" t="s">
        <v>5</v>
      </c>
      <c r="F129">
        <v>0</v>
      </c>
      <c r="G129" t="s">
        <v>239</v>
      </c>
    </row>
    <row r="130" spans="1:7" x14ac:dyDescent="0.3">
      <c r="A130" t="s">
        <v>180</v>
      </c>
      <c r="B130" t="s">
        <v>277</v>
      </c>
      <c r="C130" t="s">
        <v>178</v>
      </c>
      <c r="D130" t="s">
        <v>27</v>
      </c>
      <c r="E130" t="s">
        <v>5</v>
      </c>
      <c r="F130">
        <v>0</v>
      </c>
      <c r="G130" t="s">
        <v>239</v>
      </c>
    </row>
    <row r="131" spans="1:7" x14ac:dyDescent="0.3">
      <c r="A131" t="s">
        <v>180</v>
      </c>
      <c r="B131" t="s">
        <v>277</v>
      </c>
      <c r="C131" t="s">
        <v>0</v>
      </c>
      <c r="D131" t="s">
        <v>27</v>
      </c>
      <c r="E131" t="s">
        <v>5</v>
      </c>
      <c r="F131">
        <v>0</v>
      </c>
      <c r="G131" t="s">
        <v>239</v>
      </c>
    </row>
    <row r="132" spans="1:7" x14ac:dyDescent="0.3">
      <c r="A132" t="s">
        <v>180</v>
      </c>
      <c r="B132" t="s">
        <v>277</v>
      </c>
      <c r="C132" t="s">
        <v>1</v>
      </c>
      <c r="D132" t="s">
        <v>27</v>
      </c>
      <c r="E132" t="s">
        <v>5</v>
      </c>
      <c r="F132">
        <v>0</v>
      </c>
      <c r="G132" t="s">
        <v>239</v>
      </c>
    </row>
    <row r="133" spans="1:7" x14ac:dyDescent="0.3">
      <c r="A133" t="s">
        <v>180</v>
      </c>
      <c r="B133" t="s">
        <v>277</v>
      </c>
      <c r="C133" t="s">
        <v>2</v>
      </c>
      <c r="D133" t="s">
        <v>27</v>
      </c>
      <c r="E133" t="s">
        <v>5</v>
      </c>
      <c r="F133">
        <v>0</v>
      </c>
      <c r="G133" t="s">
        <v>239</v>
      </c>
    </row>
    <row r="134" spans="1:7" x14ac:dyDescent="0.3">
      <c r="A134" t="s">
        <v>180</v>
      </c>
      <c r="B134" t="s">
        <v>277</v>
      </c>
      <c r="C134" t="s">
        <v>3</v>
      </c>
      <c r="D134" t="s">
        <v>27</v>
      </c>
      <c r="E134" t="s">
        <v>5</v>
      </c>
      <c r="F134">
        <v>0</v>
      </c>
      <c r="G134" t="s">
        <v>239</v>
      </c>
    </row>
    <row r="135" spans="1:7" x14ac:dyDescent="0.3">
      <c r="A135" t="s">
        <v>180</v>
      </c>
      <c r="B135" t="s">
        <v>277</v>
      </c>
      <c r="C135" t="s">
        <v>4</v>
      </c>
      <c r="D135" t="s">
        <v>27</v>
      </c>
      <c r="E135" t="s">
        <v>5</v>
      </c>
      <c r="F135">
        <v>0</v>
      </c>
      <c r="G135" t="s">
        <v>239</v>
      </c>
    </row>
    <row r="136" spans="1:7" x14ac:dyDescent="0.3">
      <c r="A136" t="s">
        <v>180</v>
      </c>
      <c r="B136" t="s">
        <v>277</v>
      </c>
      <c r="C136" t="s">
        <v>179</v>
      </c>
      <c r="D136" t="s">
        <v>27</v>
      </c>
      <c r="E136" t="s">
        <v>5</v>
      </c>
      <c r="F136">
        <v>0</v>
      </c>
      <c r="G136" t="s">
        <v>239</v>
      </c>
    </row>
    <row r="137" spans="1:7" x14ac:dyDescent="0.3">
      <c r="A137" t="s">
        <v>180</v>
      </c>
      <c r="B137" t="s">
        <v>276</v>
      </c>
      <c r="C137" t="s">
        <v>176</v>
      </c>
      <c r="D137" t="s">
        <v>27</v>
      </c>
      <c r="E137" t="s">
        <v>5</v>
      </c>
      <c r="F137">
        <v>0</v>
      </c>
      <c r="G137" t="s">
        <v>239</v>
      </c>
    </row>
    <row r="138" spans="1:7" x14ac:dyDescent="0.3">
      <c r="A138" t="s">
        <v>180</v>
      </c>
      <c r="B138" t="s">
        <v>276</v>
      </c>
      <c r="C138" t="s">
        <v>177</v>
      </c>
      <c r="D138" t="s">
        <v>27</v>
      </c>
      <c r="E138" t="s">
        <v>5</v>
      </c>
      <c r="F138">
        <v>0</v>
      </c>
      <c r="G138" t="s">
        <v>239</v>
      </c>
    </row>
    <row r="139" spans="1:7" x14ac:dyDescent="0.3">
      <c r="A139" t="s">
        <v>180</v>
      </c>
      <c r="B139" t="s">
        <v>276</v>
      </c>
      <c r="C139" t="s">
        <v>178</v>
      </c>
      <c r="D139" t="s">
        <v>27</v>
      </c>
      <c r="E139" t="s">
        <v>5</v>
      </c>
      <c r="F139">
        <v>0</v>
      </c>
      <c r="G139" t="s">
        <v>239</v>
      </c>
    </row>
    <row r="140" spans="1:7" x14ac:dyDescent="0.3">
      <c r="A140" t="s">
        <v>180</v>
      </c>
      <c r="B140" t="s">
        <v>276</v>
      </c>
      <c r="C140" t="s">
        <v>0</v>
      </c>
      <c r="D140" t="s">
        <v>27</v>
      </c>
      <c r="E140" t="s">
        <v>5</v>
      </c>
      <c r="F140">
        <v>0</v>
      </c>
      <c r="G140" t="s">
        <v>239</v>
      </c>
    </row>
    <row r="141" spans="1:7" x14ac:dyDescent="0.3">
      <c r="A141" t="s">
        <v>180</v>
      </c>
      <c r="B141" t="s">
        <v>276</v>
      </c>
      <c r="C141" t="s">
        <v>1</v>
      </c>
      <c r="D141" t="s">
        <v>27</v>
      </c>
      <c r="E141" t="s">
        <v>5</v>
      </c>
      <c r="F141">
        <v>0</v>
      </c>
      <c r="G141" t="s">
        <v>239</v>
      </c>
    </row>
    <row r="142" spans="1:7" x14ac:dyDescent="0.3">
      <c r="A142" s="71" t="s">
        <v>180</v>
      </c>
      <c r="B142" s="71" t="s">
        <v>276</v>
      </c>
      <c r="C142" s="71" t="s">
        <v>2</v>
      </c>
      <c r="D142" s="71" t="s">
        <v>27</v>
      </c>
      <c r="E142" s="71" t="s">
        <v>5</v>
      </c>
      <c r="F142" s="71">
        <v>1.6390157280568241</v>
      </c>
      <c r="G142" s="71" t="s">
        <v>239</v>
      </c>
    </row>
    <row r="143" spans="1:7" x14ac:dyDescent="0.3">
      <c r="A143" s="71" t="s">
        <v>180</v>
      </c>
      <c r="B143" s="71" t="s">
        <v>276</v>
      </c>
      <c r="C143" s="71" t="s">
        <v>3</v>
      </c>
      <c r="D143" s="71" t="s">
        <v>27</v>
      </c>
      <c r="E143" s="71" t="s">
        <v>5</v>
      </c>
      <c r="F143" s="71">
        <v>2.2837709284627095</v>
      </c>
      <c r="G143" s="71" t="s">
        <v>239</v>
      </c>
    </row>
    <row r="144" spans="1:7" x14ac:dyDescent="0.3">
      <c r="A144" s="71" t="s">
        <v>180</v>
      </c>
      <c r="B144" s="71" t="s">
        <v>276</v>
      </c>
      <c r="C144" s="71" t="s">
        <v>4</v>
      </c>
      <c r="D144" s="71" t="s">
        <v>27</v>
      </c>
      <c r="E144" s="71" t="s">
        <v>5</v>
      </c>
      <c r="F144" s="71">
        <v>2.4287480974124809</v>
      </c>
      <c r="G144" s="71" t="s">
        <v>239</v>
      </c>
    </row>
    <row r="145" spans="1:7" x14ac:dyDescent="0.3">
      <c r="A145" s="71" t="s">
        <v>180</v>
      </c>
      <c r="B145" s="71" t="s">
        <v>276</v>
      </c>
      <c r="C145" s="71" t="s">
        <v>179</v>
      </c>
      <c r="D145" s="71" t="s">
        <v>27</v>
      </c>
      <c r="E145" s="71" t="s">
        <v>5</v>
      </c>
      <c r="F145" s="71">
        <v>2.8578450025367834</v>
      </c>
      <c r="G145" s="71" t="s">
        <v>239</v>
      </c>
    </row>
    <row r="146" spans="1:7" x14ac:dyDescent="0.3">
      <c r="A146" t="s">
        <v>180</v>
      </c>
      <c r="B146" t="s">
        <v>19</v>
      </c>
      <c r="C146" t="s">
        <v>176</v>
      </c>
      <c r="D146" t="s">
        <v>27</v>
      </c>
      <c r="E146" t="s">
        <v>5</v>
      </c>
      <c r="F146">
        <v>0</v>
      </c>
      <c r="G146" t="s">
        <v>239</v>
      </c>
    </row>
    <row r="147" spans="1:7" x14ac:dyDescent="0.3">
      <c r="A147" t="s">
        <v>180</v>
      </c>
      <c r="B147" t="s">
        <v>19</v>
      </c>
      <c r="C147" t="s">
        <v>177</v>
      </c>
      <c r="D147" t="s">
        <v>27</v>
      </c>
      <c r="E147" t="s">
        <v>5</v>
      </c>
      <c r="F147">
        <v>0</v>
      </c>
      <c r="G147" t="s">
        <v>239</v>
      </c>
    </row>
    <row r="148" spans="1:7" x14ac:dyDescent="0.3">
      <c r="A148" t="s">
        <v>180</v>
      </c>
      <c r="B148" t="s">
        <v>19</v>
      </c>
      <c r="C148" t="s">
        <v>178</v>
      </c>
      <c r="D148" t="s">
        <v>27</v>
      </c>
      <c r="E148" t="s">
        <v>5</v>
      </c>
      <c r="F148">
        <v>0</v>
      </c>
      <c r="G148" t="s">
        <v>239</v>
      </c>
    </row>
    <row r="149" spans="1:7" x14ac:dyDescent="0.3">
      <c r="A149" t="s">
        <v>180</v>
      </c>
      <c r="B149" t="s">
        <v>19</v>
      </c>
      <c r="C149" t="s">
        <v>0</v>
      </c>
      <c r="D149" t="s">
        <v>27</v>
      </c>
      <c r="E149" t="s">
        <v>5</v>
      </c>
      <c r="F149">
        <v>0</v>
      </c>
      <c r="G149" t="s">
        <v>239</v>
      </c>
    </row>
    <row r="150" spans="1:7" x14ac:dyDescent="0.3">
      <c r="A150" t="s">
        <v>180</v>
      </c>
      <c r="B150" t="s">
        <v>19</v>
      </c>
      <c r="C150" t="s">
        <v>1</v>
      </c>
      <c r="D150" t="s">
        <v>27</v>
      </c>
      <c r="E150" t="s">
        <v>5</v>
      </c>
      <c r="F150">
        <v>0</v>
      </c>
      <c r="G150" t="s">
        <v>239</v>
      </c>
    </row>
    <row r="151" spans="1:7" x14ac:dyDescent="0.3">
      <c r="A151" t="s">
        <v>180</v>
      </c>
      <c r="B151" t="s">
        <v>19</v>
      </c>
      <c r="C151" t="s">
        <v>2</v>
      </c>
      <c r="D151" t="s">
        <v>27</v>
      </c>
      <c r="E151" t="s">
        <v>5</v>
      </c>
      <c r="F151">
        <v>0</v>
      </c>
      <c r="G151" t="s">
        <v>239</v>
      </c>
    </row>
    <row r="152" spans="1:7" x14ac:dyDescent="0.3">
      <c r="A152" t="s">
        <v>180</v>
      </c>
      <c r="B152" t="s">
        <v>19</v>
      </c>
      <c r="C152" t="s">
        <v>3</v>
      </c>
      <c r="D152" t="s">
        <v>27</v>
      </c>
      <c r="E152" t="s">
        <v>5</v>
      </c>
      <c r="F152">
        <v>1.67E-2</v>
      </c>
      <c r="G152" t="s">
        <v>239</v>
      </c>
    </row>
    <row r="153" spans="1:7" x14ac:dyDescent="0.3">
      <c r="A153" t="s">
        <v>180</v>
      </c>
      <c r="B153" t="s">
        <v>19</v>
      </c>
      <c r="C153" t="s">
        <v>4</v>
      </c>
      <c r="D153" t="s">
        <v>27</v>
      </c>
      <c r="E153" t="s">
        <v>5</v>
      </c>
      <c r="F153">
        <v>3.0700000000000002E-2</v>
      </c>
      <c r="G153" t="s">
        <v>239</v>
      </c>
    </row>
    <row r="154" spans="1:7" x14ac:dyDescent="0.3">
      <c r="A154" s="71" t="s">
        <v>180</v>
      </c>
      <c r="B154" s="71" t="s">
        <v>19</v>
      </c>
      <c r="C154" s="71" t="s">
        <v>179</v>
      </c>
      <c r="D154" s="71" t="s">
        <v>27</v>
      </c>
      <c r="E154" s="71" t="s">
        <v>5</v>
      </c>
      <c r="F154" s="71">
        <v>5.16E-2</v>
      </c>
      <c r="G154" s="71" t="s">
        <v>239</v>
      </c>
    </row>
    <row r="155" spans="1:7" x14ac:dyDescent="0.3">
      <c r="A155" t="s">
        <v>180</v>
      </c>
      <c r="B155" t="s">
        <v>275</v>
      </c>
      <c r="C155" t="s">
        <v>176</v>
      </c>
      <c r="D155" t="s">
        <v>27</v>
      </c>
      <c r="E155" t="s">
        <v>5</v>
      </c>
      <c r="F155">
        <v>1.0500000000000001E-2</v>
      </c>
      <c r="G155" t="s">
        <v>239</v>
      </c>
    </row>
    <row r="156" spans="1:7" x14ac:dyDescent="0.3">
      <c r="A156" t="s">
        <v>180</v>
      </c>
      <c r="B156" t="s">
        <v>275</v>
      </c>
      <c r="C156" t="s">
        <v>177</v>
      </c>
      <c r="D156" t="s">
        <v>27</v>
      </c>
      <c r="E156" t="s">
        <v>5</v>
      </c>
      <c r="F156">
        <v>1.14E-2</v>
      </c>
      <c r="G156" t="s">
        <v>239</v>
      </c>
    </row>
    <row r="157" spans="1:7" x14ac:dyDescent="0.3">
      <c r="A157" t="s">
        <v>180</v>
      </c>
      <c r="B157" t="s">
        <v>275</v>
      </c>
      <c r="C157" t="s">
        <v>178</v>
      </c>
      <c r="D157" t="s">
        <v>27</v>
      </c>
      <c r="E157" t="s">
        <v>5</v>
      </c>
      <c r="F157">
        <v>1.26E-2</v>
      </c>
      <c r="G157" t="s">
        <v>239</v>
      </c>
    </row>
    <row r="158" spans="1:7" x14ac:dyDescent="0.3">
      <c r="A158" t="s">
        <v>180</v>
      </c>
      <c r="B158" t="s">
        <v>275</v>
      </c>
      <c r="C158" t="s">
        <v>0</v>
      </c>
      <c r="D158" t="s">
        <v>27</v>
      </c>
      <c r="E158" t="s">
        <v>5</v>
      </c>
      <c r="F158">
        <v>1.29E-2</v>
      </c>
      <c r="G158" t="s">
        <v>239</v>
      </c>
    </row>
    <row r="159" spans="1:7" x14ac:dyDescent="0.3">
      <c r="A159" t="s">
        <v>180</v>
      </c>
      <c r="B159" t="s">
        <v>275</v>
      </c>
      <c r="C159" t="s">
        <v>1</v>
      </c>
      <c r="D159" t="s">
        <v>27</v>
      </c>
      <c r="E159" t="s">
        <v>5</v>
      </c>
      <c r="F159">
        <v>6.8999999999999999E-3</v>
      </c>
      <c r="G159" t="s">
        <v>239</v>
      </c>
    </row>
    <row r="160" spans="1:7" x14ac:dyDescent="0.3">
      <c r="A160" t="s">
        <v>180</v>
      </c>
      <c r="B160" t="s">
        <v>275</v>
      </c>
      <c r="C160" t="s">
        <v>2</v>
      </c>
      <c r="D160" t="s">
        <v>27</v>
      </c>
      <c r="E160" t="s">
        <v>5</v>
      </c>
      <c r="F160">
        <v>4.4999999999999997E-3</v>
      </c>
      <c r="G160" t="s">
        <v>239</v>
      </c>
    </row>
    <row r="161" spans="1:7" x14ac:dyDescent="0.3">
      <c r="A161" t="s">
        <v>180</v>
      </c>
      <c r="B161" t="s">
        <v>275</v>
      </c>
      <c r="C161" t="s">
        <v>3</v>
      </c>
      <c r="D161" t="s">
        <v>27</v>
      </c>
      <c r="E161" t="s">
        <v>5</v>
      </c>
      <c r="F161">
        <v>4.4999999999999997E-3</v>
      </c>
      <c r="G161" t="s">
        <v>239</v>
      </c>
    </row>
    <row r="162" spans="1:7" x14ac:dyDescent="0.3">
      <c r="A162" t="s">
        <v>180</v>
      </c>
      <c r="B162" t="s">
        <v>275</v>
      </c>
      <c r="C162" t="s">
        <v>4</v>
      </c>
      <c r="D162" t="s">
        <v>27</v>
      </c>
      <c r="E162" t="s">
        <v>5</v>
      </c>
      <c r="F162">
        <v>2.9999999999999997E-4</v>
      </c>
      <c r="G162" t="s">
        <v>239</v>
      </c>
    </row>
    <row r="163" spans="1:7" x14ac:dyDescent="0.3">
      <c r="A163" t="s">
        <v>180</v>
      </c>
      <c r="B163" t="s">
        <v>275</v>
      </c>
      <c r="C163" t="s">
        <v>179</v>
      </c>
      <c r="D163" t="s">
        <v>27</v>
      </c>
      <c r="E163" t="s">
        <v>5</v>
      </c>
      <c r="F163">
        <v>0</v>
      </c>
      <c r="G163" t="s">
        <v>239</v>
      </c>
    </row>
    <row r="164" spans="1:7" x14ac:dyDescent="0.3">
      <c r="A164" t="s">
        <v>180</v>
      </c>
      <c r="B164" t="s">
        <v>274</v>
      </c>
      <c r="C164" t="s">
        <v>176</v>
      </c>
      <c r="D164" t="s">
        <v>27</v>
      </c>
      <c r="E164" t="s">
        <v>5</v>
      </c>
      <c r="F164">
        <v>0</v>
      </c>
      <c r="G164" t="s">
        <v>239</v>
      </c>
    </row>
    <row r="165" spans="1:7" x14ac:dyDescent="0.3">
      <c r="A165" t="s">
        <v>180</v>
      </c>
      <c r="B165" t="s">
        <v>274</v>
      </c>
      <c r="C165" t="s">
        <v>177</v>
      </c>
      <c r="D165" t="s">
        <v>27</v>
      </c>
      <c r="E165" t="s">
        <v>5</v>
      </c>
      <c r="F165">
        <v>0</v>
      </c>
      <c r="G165" t="s">
        <v>239</v>
      </c>
    </row>
    <row r="166" spans="1:7" x14ac:dyDescent="0.3">
      <c r="A166" t="s">
        <v>180</v>
      </c>
      <c r="B166" t="s">
        <v>274</v>
      </c>
      <c r="C166" t="s">
        <v>178</v>
      </c>
      <c r="D166" t="s">
        <v>27</v>
      </c>
      <c r="E166" t="s">
        <v>5</v>
      </c>
      <c r="F166">
        <v>0</v>
      </c>
      <c r="G166" t="s">
        <v>239</v>
      </c>
    </row>
    <row r="167" spans="1:7" x14ac:dyDescent="0.3">
      <c r="A167" t="s">
        <v>180</v>
      </c>
      <c r="B167" t="s">
        <v>274</v>
      </c>
      <c r="C167" t="s">
        <v>0</v>
      </c>
      <c r="D167" t="s">
        <v>27</v>
      </c>
      <c r="E167" t="s">
        <v>5</v>
      </c>
      <c r="F167">
        <v>0</v>
      </c>
      <c r="G167" t="s">
        <v>239</v>
      </c>
    </row>
    <row r="168" spans="1:7" x14ac:dyDescent="0.3">
      <c r="A168" t="s">
        <v>180</v>
      </c>
      <c r="B168" t="s">
        <v>274</v>
      </c>
      <c r="C168" t="s">
        <v>1</v>
      </c>
      <c r="D168" t="s">
        <v>27</v>
      </c>
      <c r="E168" t="s">
        <v>5</v>
      </c>
      <c r="F168">
        <v>0</v>
      </c>
      <c r="G168" t="s">
        <v>239</v>
      </c>
    </row>
    <row r="169" spans="1:7" x14ac:dyDescent="0.3">
      <c r="A169" t="s">
        <v>180</v>
      </c>
      <c r="B169" t="s">
        <v>274</v>
      </c>
      <c r="C169" t="s">
        <v>2</v>
      </c>
      <c r="D169" t="s">
        <v>27</v>
      </c>
      <c r="E169" t="s">
        <v>5</v>
      </c>
      <c r="F169">
        <v>0</v>
      </c>
      <c r="G169" t="s">
        <v>239</v>
      </c>
    </row>
    <row r="170" spans="1:7" x14ac:dyDescent="0.3">
      <c r="A170" t="s">
        <v>180</v>
      </c>
      <c r="B170" t="s">
        <v>274</v>
      </c>
      <c r="C170" t="s">
        <v>3</v>
      </c>
      <c r="D170" t="s">
        <v>27</v>
      </c>
      <c r="E170" t="s">
        <v>5</v>
      </c>
      <c r="F170">
        <v>0</v>
      </c>
      <c r="G170" t="s">
        <v>239</v>
      </c>
    </row>
    <row r="171" spans="1:7" x14ac:dyDescent="0.3">
      <c r="A171" t="s">
        <v>180</v>
      </c>
      <c r="B171" t="s">
        <v>274</v>
      </c>
      <c r="C171" t="s">
        <v>4</v>
      </c>
      <c r="D171" t="s">
        <v>27</v>
      </c>
      <c r="E171" t="s">
        <v>5</v>
      </c>
      <c r="F171">
        <v>0</v>
      </c>
      <c r="G171" t="s">
        <v>239</v>
      </c>
    </row>
    <row r="172" spans="1:7" x14ac:dyDescent="0.3">
      <c r="A172" t="s">
        <v>180</v>
      </c>
      <c r="B172" t="s">
        <v>274</v>
      </c>
      <c r="C172" t="s">
        <v>179</v>
      </c>
      <c r="D172" t="s">
        <v>27</v>
      </c>
      <c r="E172" t="s">
        <v>5</v>
      </c>
      <c r="F172">
        <v>0</v>
      </c>
      <c r="G172" t="s">
        <v>239</v>
      </c>
    </row>
    <row r="173" spans="1:7" x14ac:dyDescent="0.3">
      <c r="A173" t="s">
        <v>180</v>
      </c>
      <c r="B173" t="s">
        <v>273</v>
      </c>
      <c r="C173" t="s">
        <v>176</v>
      </c>
      <c r="D173" t="s">
        <v>27</v>
      </c>
      <c r="E173" t="s">
        <v>5</v>
      </c>
      <c r="F173">
        <v>0</v>
      </c>
      <c r="G173" t="s">
        <v>239</v>
      </c>
    </row>
    <row r="174" spans="1:7" x14ac:dyDescent="0.3">
      <c r="A174" t="s">
        <v>180</v>
      </c>
      <c r="B174" t="s">
        <v>273</v>
      </c>
      <c r="C174" t="s">
        <v>177</v>
      </c>
      <c r="D174" t="s">
        <v>27</v>
      </c>
      <c r="E174" t="s">
        <v>5</v>
      </c>
      <c r="F174">
        <v>0</v>
      </c>
      <c r="G174" t="s">
        <v>239</v>
      </c>
    </row>
    <row r="175" spans="1:7" x14ac:dyDescent="0.3">
      <c r="A175" t="s">
        <v>180</v>
      </c>
      <c r="B175" t="s">
        <v>273</v>
      </c>
      <c r="C175" t="s">
        <v>178</v>
      </c>
      <c r="D175" t="s">
        <v>27</v>
      </c>
      <c r="E175" t="s">
        <v>5</v>
      </c>
      <c r="F175">
        <v>0</v>
      </c>
      <c r="G175" t="s">
        <v>239</v>
      </c>
    </row>
    <row r="176" spans="1:7" x14ac:dyDescent="0.3">
      <c r="A176" t="s">
        <v>180</v>
      </c>
      <c r="B176" t="s">
        <v>273</v>
      </c>
      <c r="C176" t="s">
        <v>0</v>
      </c>
      <c r="D176" t="s">
        <v>27</v>
      </c>
      <c r="E176" t="s">
        <v>5</v>
      </c>
      <c r="F176">
        <v>0</v>
      </c>
      <c r="G176" t="s">
        <v>239</v>
      </c>
    </row>
    <row r="177" spans="1:7" x14ac:dyDescent="0.3">
      <c r="A177" t="s">
        <v>180</v>
      </c>
      <c r="B177" t="s">
        <v>273</v>
      </c>
      <c r="C177" t="s">
        <v>1</v>
      </c>
      <c r="D177" t="s">
        <v>27</v>
      </c>
      <c r="E177" t="s">
        <v>5</v>
      </c>
      <c r="F177">
        <v>0</v>
      </c>
      <c r="G177" t="s">
        <v>239</v>
      </c>
    </row>
    <row r="178" spans="1:7" x14ac:dyDescent="0.3">
      <c r="A178" t="s">
        <v>180</v>
      </c>
      <c r="B178" t="s">
        <v>273</v>
      </c>
      <c r="C178" t="s">
        <v>2</v>
      </c>
      <c r="D178" t="s">
        <v>27</v>
      </c>
      <c r="E178" t="s">
        <v>5</v>
      </c>
      <c r="F178">
        <v>0</v>
      </c>
      <c r="G178" t="s">
        <v>239</v>
      </c>
    </row>
    <row r="179" spans="1:7" x14ac:dyDescent="0.3">
      <c r="A179" t="s">
        <v>180</v>
      </c>
      <c r="B179" t="s">
        <v>273</v>
      </c>
      <c r="C179" t="s">
        <v>3</v>
      </c>
      <c r="D179" t="s">
        <v>27</v>
      </c>
      <c r="E179" t="s">
        <v>5</v>
      </c>
      <c r="F179">
        <v>0</v>
      </c>
      <c r="G179" t="s">
        <v>239</v>
      </c>
    </row>
    <row r="180" spans="1:7" x14ac:dyDescent="0.3">
      <c r="A180" t="s">
        <v>180</v>
      </c>
      <c r="B180" t="s">
        <v>273</v>
      </c>
      <c r="C180" t="s">
        <v>4</v>
      </c>
      <c r="D180" t="s">
        <v>27</v>
      </c>
      <c r="E180" t="s">
        <v>5</v>
      </c>
      <c r="F180">
        <v>0</v>
      </c>
      <c r="G180" t="s">
        <v>239</v>
      </c>
    </row>
    <row r="181" spans="1:7" x14ac:dyDescent="0.3">
      <c r="A181" t="s">
        <v>180</v>
      </c>
      <c r="B181" t="s">
        <v>273</v>
      </c>
      <c r="C181" t="s">
        <v>179</v>
      </c>
      <c r="D181" t="s">
        <v>27</v>
      </c>
      <c r="E181" t="s">
        <v>5</v>
      </c>
      <c r="F181">
        <v>0</v>
      </c>
      <c r="G181" t="s">
        <v>239</v>
      </c>
    </row>
    <row r="182" spans="1:7" x14ac:dyDescent="0.3">
      <c r="A182" t="s">
        <v>180</v>
      </c>
      <c r="B182" t="s">
        <v>272</v>
      </c>
      <c r="C182" t="s">
        <v>176</v>
      </c>
      <c r="D182" t="s">
        <v>27</v>
      </c>
      <c r="E182" t="s">
        <v>5</v>
      </c>
      <c r="F182">
        <v>0</v>
      </c>
      <c r="G182" t="s">
        <v>239</v>
      </c>
    </row>
    <row r="183" spans="1:7" x14ac:dyDescent="0.3">
      <c r="A183" t="s">
        <v>180</v>
      </c>
      <c r="B183" t="s">
        <v>272</v>
      </c>
      <c r="C183" t="s">
        <v>177</v>
      </c>
      <c r="D183" t="s">
        <v>27</v>
      </c>
      <c r="E183" t="s">
        <v>5</v>
      </c>
      <c r="F183">
        <v>0</v>
      </c>
      <c r="G183" t="s">
        <v>239</v>
      </c>
    </row>
    <row r="184" spans="1:7" x14ac:dyDescent="0.3">
      <c r="A184" t="s">
        <v>180</v>
      </c>
      <c r="B184" t="s">
        <v>272</v>
      </c>
      <c r="C184" t="s">
        <v>178</v>
      </c>
      <c r="D184" t="s">
        <v>27</v>
      </c>
      <c r="E184" t="s">
        <v>5</v>
      </c>
      <c r="F184">
        <v>0</v>
      </c>
      <c r="G184" t="s">
        <v>239</v>
      </c>
    </row>
    <row r="185" spans="1:7" x14ac:dyDescent="0.3">
      <c r="A185" t="s">
        <v>180</v>
      </c>
      <c r="B185" t="s">
        <v>272</v>
      </c>
      <c r="C185" t="s">
        <v>0</v>
      </c>
      <c r="D185" t="s">
        <v>27</v>
      </c>
      <c r="E185" t="s">
        <v>5</v>
      </c>
      <c r="F185">
        <v>0</v>
      </c>
      <c r="G185" t="s">
        <v>239</v>
      </c>
    </row>
    <row r="186" spans="1:7" x14ac:dyDescent="0.3">
      <c r="A186" t="s">
        <v>180</v>
      </c>
      <c r="B186" t="s">
        <v>272</v>
      </c>
      <c r="C186" t="s">
        <v>1</v>
      </c>
      <c r="D186" t="s">
        <v>27</v>
      </c>
      <c r="E186" t="s">
        <v>5</v>
      </c>
      <c r="F186">
        <v>0</v>
      </c>
      <c r="G186" t="s">
        <v>239</v>
      </c>
    </row>
    <row r="187" spans="1:7" x14ac:dyDescent="0.3">
      <c r="A187" t="s">
        <v>180</v>
      </c>
      <c r="B187" t="s">
        <v>272</v>
      </c>
      <c r="C187" t="s">
        <v>2</v>
      </c>
      <c r="D187" t="s">
        <v>27</v>
      </c>
      <c r="E187" t="s">
        <v>5</v>
      </c>
      <c r="F187">
        <v>0</v>
      </c>
      <c r="G187" t="s">
        <v>239</v>
      </c>
    </row>
    <row r="188" spans="1:7" x14ac:dyDescent="0.3">
      <c r="A188" t="s">
        <v>180</v>
      </c>
      <c r="B188" t="s">
        <v>272</v>
      </c>
      <c r="C188" t="s">
        <v>3</v>
      </c>
      <c r="D188" t="s">
        <v>27</v>
      </c>
      <c r="E188" t="s">
        <v>5</v>
      </c>
      <c r="F188">
        <v>0</v>
      </c>
      <c r="G188" t="s">
        <v>239</v>
      </c>
    </row>
    <row r="189" spans="1:7" x14ac:dyDescent="0.3">
      <c r="A189" t="s">
        <v>180</v>
      </c>
      <c r="B189" t="s">
        <v>272</v>
      </c>
      <c r="C189" t="s">
        <v>4</v>
      </c>
      <c r="D189" t="s">
        <v>27</v>
      </c>
      <c r="E189" t="s">
        <v>5</v>
      </c>
      <c r="F189">
        <v>0</v>
      </c>
      <c r="G189" t="s">
        <v>239</v>
      </c>
    </row>
    <row r="190" spans="1:7" x14ac:dyDescent="0.3">
      <c r="A190" t="s">
        <v>180</v>
      </c>
      <c r="B190" t="s">
        <v>272</v>
      </c>
      <c r="C190" t="s">
        <v>179</v>
      </c>
      <c r="D190" t="s">
        <v>27</v>
      </c>
      <c r="E190" t="s">
        <v>5</v>
      </c>
      <c r="F190">
        <v>0</v>
      </c>
      <c r="G190" t="s">
        <v>239</v>
      </c>
    </row>
    <row r="191" spans="1:7" x14ac:dyDescent="0.3">
      <c r="A191" t="s">
        <v>180</v>
      </c>
      <c r="B191" t="s">
        <v>140</v>
      </c>
      <c r="C191" t="s">
        <v>176</v>
      </c>
      <c r="D191" t="s">
        <v>27</v>
      </c>
      <c r="E191" t="s">
        <v>5</v>
      </c>
      <c r="F191">
        <v>0</v>
      </c>
      <c r="G191" t="s">
        <v>239</v>
      </c>
    </row>
    <row r="192" spans="1:7" x14ac:dyDescent="0.3">
      <c r="A192" t="s">
        <v>180</v>
      </c>
      <c r="B192" t="s">
        <v>140</v>
      </c>
      <c r="C192" t="s">
        <v>177</v>
      </c>
      <c r="D192" t="s">
        <v>27</v>
      </c>
      <c r="E192" t="s">
        <v>5</v>
      </c>
      <c r="F192">
        <v>0</v>
      </c>
      <c r="G192" t="s">
        <v>239</v>
      </c>
    </row>
    <row r="193" spans="1:7" x14ac:dyDescent="0.3">
      <c r="A193" t="s">
        <v>180</v>
      </c>
      <c r="B193" t="s">
        <v>140</v>
      </c>
      <c r="C193" t="s">
        <v>178</v>
      </c>
      <c r="D193" t="s">
        <v>27</v>
      </c>
      <c r="E193" t="s">
        <v>5</v>
      </c>
      <c r="F193">
        <v>0</v>
      </c>
      <c r="G193" t="s">
        <v>239</v>
      </c>
    </row>
    <row r="194" spans="1:7" x14ac:dyDescent="0.3">
      <c r="A194" t="s">
        <v>180</v>
      </c>
      <c r="B194" t="s">
        <v>140</v>
      </c>
      <c r="C194" t="s">
        <v>0</v>
      </c>
      <c r="D194" t="s">
        <v>27</v>
      </c>
      <c r="E194" t="s">
        <v>5</v>
      </c>
      <c r="F194">
        <v>0</v>
      </c>
      <c r="G194" t="s">
        <v>239</v>
      </c>
    </row>
    <row r="195" spans="1:7" x14ac:dyDescent="0.3">
      <c r="A195" t="s">
        <v>180</v>
      </c>
      <c r="B195" t="s">
        <v>140</v>
      </c>
      <c r="C195" t="s">
        <v>1</v>
      </c>
      <c r="D195" t="s">
        <v>27</v>
      </c>
      <c r="E195" t="s">
        <v>5</v>
      </c>
      <c r="F195">
        <v>0</v>
      </c>
      <c r="G195" t="s">
        <v>239</v>
      </c>
    </row>
    <row r="196" spans="1:7" x14ac:dyDescent="0.3">
      <c r="A196" t="s">
        <v>180</v>
      </c>
      <c r="B196" t="s">
        <v>140</v>
      </c>
      <c r="C196" t="s">
        <v>2</v>
      </c>
      <c r="D196" t="s">
        <v>27</v>
      </c>
      <c r="E196" t="s">
        <v>5</v>
      </c>
      <c r="F196">
        <v>0</v>
      </c>
      <c r="G196" t="s">
        <v>239</v>
      </c>
    </row>
    <row r="197" spans="1:7" x14ac:dyDescent="0.3">
      <c r="A197" t="s">
        <v>180</v>
      </c>
      <c r="B197" t="s">
        <v>140</v>
      </c>
      <c r="C197" t="s">
        <v>3</v>
      </c>
      <c r="D197" t="s">
        <v>27</v>
      </c>
      <c r="E197" t="s">
        <v>5</v>
      </c>
      <c r="F197">
        <v>0</v>
      </c>
      <c r="G197" t="s">
        <v>239</v>
      </c>
    </row>
    <row r="198" spans="1:7" x14ac:dyDescent="0.3">
      <c r="A198" t="s">
        <v>180</v>
      </c>
      <c r="B198" t="s">
        <v>140</v>
      </c>
      <c r="C198" t="s">
        <v>4</v>
      </c>
      <c r="D198" t="s">
        <v>27</v>
      </c>
      <c r="E198" t="s">
        <v>5</v>
      </c>
      <c r="F198">
        <v>0</v>
      </c>
      <c r="G198" t="s">
        <v>239</v>
      </c>
    </row>
    <row r="199" spans="1:7" x14ac:dyDescent="0.3">
      <c r="A199" t="s">
        <v>180</v>
      </c>
      <c r="B199" t="s">
        <v>140</v>
      </c>
      <c r="C199" t="s">
        <v>179</v>
      </c>
      <c r="D199" t="s">
        <v>27</v>
      </c>
      <c r="E199" t="s">
        <v>5</v>
      </c>
      <c r="F199">
        <v>0</v>
      </c>
      <c r="G199" t="s">
        <v>239</v>
      </c>
    </row>
    <row r="200" spans="1:7" x14ac:dyDescent="0.3">
      <c r="A200" t="s">
        <v>180</v>
      </c>
      <c r="B200" t="s">
        <v>271</v>
      </c>
      <c r="C200" t="s">
        <v>176</v>
      </c>
      <c r="D200" t="s">
        <v>27</v>
      </c>
      <c r="E200" t="s">
        <v>5</v>
      </c>
      <c r="F200">
        <v>0</v>
      </c>
      <c r="G200" t="s">
        <v>239</v>
      </c>
    </row>
    <row r="201" spans="1:7" x14ac:dyDescent="0.3">
      <c r="A201" t="s">
        <v>180</v>
      </c>
      <c r="B201" t="s">
        <v>271</v>
      </c>
      <c r="C201" t="s">
        <v>177</v>
      </c>
      <c r="D201" t="s">
        <v>27</v>
      </c>
      <c r="E201" t="s">
        <v>5</v>
      </c>
      <c r="F201">
        <v>0</v>
      </c>
      <c r="G201" t="s">
        <v>239</v>
      </c>
    </row>
    <row r="202" spans="1:7" x14ac:dyDescent="0.3">
      <c r="A202" t="s">
        <v>180</v>
      </c>
      <c r="B202" t="s">
        <v>271</v>
      </c>
      <c r="C202" t="s">
        <v>178</v>
      </c>
      <c r="D202" t="s">
        <v>27</v>
      </c>
      <c r="E202" t="s">
        <v>5</v>
      </c>
      <c r="F202">
        <v>0</v>
      </c>
      <c r="G202" t="s">
        <v>239</v>
      </c>
    </row>
    <row r="203" spans="1:7" x14ac:dyDescent="0.3">
      <c r="A203" t="s">
        <v>180</v>
      </c>
      <c r="B203" t="s">
        <v>271</v>
      </c>
      <c r="C203" t="s">
        <v>0</v>
      </c>
      <c r="D203" t="s">
        <v>27</v>
      </c>
      <c r="E203" t="s">
        <v>5</v>
      </c>
      <c r="F203">
        <v>0</v>
      </c>
      <c r="G203" t="s">
        <v>239</v>
      </c>
    </row>
    <row r="204" spans="1:7" x14ac:dyDescent="0.3">
      <c r="A204" t="s">
        <v>180</v>
      </c>
      <c r="B204" t="s">
        <v>271</v>
      </c>
      <c r="C204" t="s">
        <v>1</v>
      </c>
      <c r="D204" t="s">
        <v>27</v>
      </c>
      <c r="E204" t="s">
        <v>5</v>
      </c>
      <c r="F204">
        <v>0</v>
      </c>
      <c r="G204" t="s">
        <v>239</v>
      </c>
    </row>
    <row r="205" spans="1:7" x14ac:dyDescent="0.3">
      <c r="A205" t="s">
        <v>180</v>
      </c>
      <c r="B205" t="s">
        <v>271</v>
      </c>
      <c r="C205" t="s">
        <v>2</v>
      </c>
      <c r="D205" t="s">
        <v>27</v>
      </c>
      <c r="E205" t="s">
        <v>5</v>
      </c>
      <c r="F205">
        <v>0</v>
      </c>
      <c r="G205" t="s">
        <v>239</v>
      </c>
    </row>
    <row r="206" spans="1:7" x14ac:dyDescent="0.3">
      <c r="A206" t="s">
        <v>180</v>
      </c>
      <c r="B206" t="s">
        <v>271</v>
      </c>
      <c r="C206" t="s">
        <v>3</v>
      </c>
      <c r="D206" t="s">
        <v>27</v>
      </c>
      <c r="E206" t="s">
        <v>5</v>
      </c>
      <c r="F206">
        <v>0</v>
      </c>
      <c r="G206" t="s">
        <v>239</v>
      </c>
    </row>
    <row r="207" spans="1:7" x14ac:dyDescent="0.3">
      <c r="A207" t="s">
        <v>180</v>
      </c>
      <c r="B207" t="s">
        <v>271</v>
      </c>
      <c r="C207" t="s">
        <v>4</v>
      </c>
      <c r="D207" t="s">
        <v>27</v>
      </c>
      <c r="E207" t="s">
        <v>5</v>
      </c>
      <c r="F207">
        <v>0</v>
      </c>
      <c r="G207" t="s">
        <v>239</v>
      </c>
    </row>
    <row r="208" spans="1:7" x14ac:dyDescent="0.3">
      <c r="A208" t="s">
        <v>180</v>
      </c>
      <c r="B208" t="s">
        <v>271</v>
      </c>
      <c r="C208" t="s">
        <v>179</v>
      </c>
      <c r="D208" t="s">
        <v>27</v>
      </c>
      <c r="E208" t="s">
        <v>5</v>
      </c>
      <c r="F208">
        <v>0</v>
      </c>
      <c r="G208" t="s">
        <v>239</v>
      </c>
    </row>
    <row r="209" spans="1:7" x14ac:dyDescent="0.3">
      <c r="A209" t="s">
        <v>180</v>
      </c>
      <c r="B209" t="s">
        <v>24</v>
      </c>
      <c r="C209" t="s">
        <v>176</v>
      </c>
      <c r="D209" t="s">
        <v>27</v>
      </c>
      <c r="E209" t="s">
        <v>5</v>
      </c>
      <c r="F209">
        <v>0.13089999999999999</v>
      </c>
      <c r="G209" t="s">
        <v>239</v>
      </c>
    </row>
    <row r="210" spans="1:7" x14ac:dyDescent="0.3">
      <c r="A210" t="s">
        <v>180</v>
      </c>
      <c r="B210" t="s">
        <v>24</v>
      </c>
      <c r="C210" t="s">
        <v>177</v>
      </c>
      <c r="D210" t="s">
        <v>27</v>
      </c>
      <c r="E210" t="s">
        <v>5</v>
      </c>
      <c r="F210">
        <v>1.0224</v>
      </c>
      <c r="G210" t="s">
        <v>239</v>
      </c>
    </row>
    <row r="211" spans="1:7" x14ac:dyDescent="0.3">
      <c r="A211" t="s">
        <v>180</v>
      </c>
      <c r="B211" t="s">
        <v>24</v>
      </c>
      <c r="C211" t="s">
        <v>178</v>
      </c>
      <c r="D211" t="s">
        <v>27</v>
      </c>
      <c r="E211" t="s">
        <v>5</v>
      </c>
      <c r="F211">
        <v>0</v>
      </c>
      <c r="G211" t="s">
        <v>239</v>
      </c>
    </row>
    <row r="212" spans="1:7" x14ac:dyDescent="0.3">
      <c r="A212" t="s">
        <v>180</v>
      </c>
      <c r="B212" t="s">
        <v>24</v>
      </c>
      <c r="C212" t="s">
        <v>0</v>
      </c>
      <c r="D212" t="s">
        <v>27</v>
      </c>
      <c r="E212" t="s">
        <v>5</v>
      </c>
      <c r="F212">
        <v>2.35E-2</v>
      </c>
      <c r="G212" t="s">
        <v>239</v>
      </c>
    </row>
    <row r="213" spans="1:7" x14ac:dyDescent="0.3">
      <c r="A213" t="s">
        <v>180</v>
      </c>
      <c r="B213" t="s">
        <v>24</v>
      </c>
      <c r="C213" t="s">
        <v>1</v>
      </c>
      <c r="D213" t="s">
        <v>27</v>
      </c>
      <c r="E213" t="s">
        <v>5</v>
      </c>
      <c r="F213">
        <v>0.12859999999999999</v>
      </c>
      <c r="G213" t="s">
        <v>239</v>
      </c>
    </row>
    <row r="214" spans="1:7" x14ac:dyDescent="0.3">
      <c r="A214" t="s">
        <v>180</v>
      </c>
      <c r="B214" t="s">
        <v>24</v>
      </c>
      <c r="C214" t="s">
        <v>2</v>
      </c>
      <c r="D214" t="s">
        <v>27</v>
      </c>
      <c r="E214" t="s">
        <v>5</v>
      </c>
      <c r="F214">
        <v>0</v>
      </c>
      <c r="G214" t="s">
        <v>239</v>
      </c>
    </row>
    <row r="215" spans="1:7" x14ac:dyDescent="0.3">
      <c r="A215" t="s">
        <v>180</v>
      </c>
      <c r="B215" t="s">
        <v>24</v>
      </c>
      <c r="C215" t="s">
        <v>3</v>
      </c>
      <c r="D215" t="s">
        <v>27</v>
      </c>
      <c r="E215" t="s">
        <v>5</v>
      </c>
      <c r="F215">
        <v>1.8499999999999999E-2</v>
      </c>
      <c r="G215" t="s">
        <v>239</v>
      </c>
    </row>
    <row r="216" spans="1:7" x14ac:dyDescent="0.3">
      <c r="A216" t="s">
        <v>180</v>
      </c>
      <c r="B216" t="s">
        <v>24</v>
      </c>
      <c r="C216" t="s">
        <v>4</v>
      </c>
      <c r="D216" t="s">
        <v>27</v>
      </c>
      <c r="E216" t="s">
        <v>5</v>
      </c>
      <c r="F216">
        <v>5.1999999999999998E-3</v>
      </c>
      <c r="G216" t="s">
        <v>239</v>
      </c>
    </row>
    <row r="217" spans="1:7" x14ac:dyDescent="0.3">
      <c r="A217" t="s">
        <v>180</v>
      </c>
      <c r="B217" t="s">
        <v>24</v>
      </c>
      <c r="C217" t="s">
        <v>179</v>
      </c>
      <c r="D217" t="s">
        <v>27</v>
      </c>
      <c r="E217" t="s">
        <v>5</v>
      </c>
      <c r="F217">
        <v>0</v>
      </c>
      <c r="G217" t="s">
        <v>239</v>
      </c>
    </row>
    <row r="218" spans="1:7" x14ac:dyDescent="0.3">
      <c r="A218" t="s">
        <v>180</v>
      </c>
      <c r="B218" t="s">
        <v>270</v>
      </c>
      <c r="C218" t="s">
        <v>176</v>
      </c>
      <c r="D218" t="s">
        <v>27</v>
      </c>
      <c r="E218" t="s">
        <v>5</v>
      </c>
      <c r="F218">
        <v>0</v>
      </c>
      <c r="G218" t="s">
        <v>239</v>
      </c>
    </row>
    <row r="219" spans="1:7" x14ac:dyDescent="0.3">
      <c r="A219" t="s">
        <v>180</v>
      </c>
      <c r="B219" t="s">
        <v>270</v>
      </c>
      <c r="C219" t="s">
        <v>177</v>
      </c>
      <c r="D219" t="s">
        <v>27</v>
      </c>
      <c r="E219" t="s">
        <v>5</v>
      </c>
      <c r="F219">
        <v>0</v>
      </c>
      <c r="G219" t="s">
        <v>239</v>
      </c>
    </row>
    <row r="220" spans="1:7" x14ac:dyDescent="0.3">
      <c r="A220" t="s">
        <v>180</v>
      </c>
      <c r="B220" t="s">
        <v>270</v>
      </c>
      <c r="C220" t="s">
        <v>178</v>
      </c>
      <c r="D220" t="s">
        <v>27</v>
      </c>
      <c r="E220" t="s">
        <v>5</v>
      </c>
      <c r="F220">
        <v>0.20799999999999999</v>
      </c>
      <c r="G220" t="s">
        <v>239</v>
      </c>
    </row>
    <row r="221" spans="1:7" x14ac:dyDescent="0.3">
      <c r="A221" t="s">
        <v>180</v>
      </c>
      <c r="B221" t="s">
        <v>270</v>
      </c>
      <c r="C221" t="s">
        <v>0</v>
      </c>
      <c r="D221" t="s">
        <v>27</v>
      </c>
      <c r="E221" t="s">
        <v>5</v>
      </c>
      <c r="F221">
        <v>0.1908</v>
      </c>
      <c r="G221" t="s">
        <v>239</v>
      </c>
    </row>
    <row r="222" spans="1:7" x14ac:dyDescent="0.3">
      <c r="A222" t="s">
        <v>180</v>
      </c>
      <c r="B222" t="s">
        <v>270</v>
      </c>
      <c r="C222" t="s">
        <v>1</v>
      </c>
      <c r="D222" t="s">
        <v>27</v>
      </c>
      <c r="E222" t="s">
        <v>5</v>
      </c>
      <c r="F222">
        <v>0.28689999999999999</v>
      </c>
      <c r="G222" t="s">
        <v>239</v>
      </c>
    </row>
    <row r="223" spans="1:7" x14ac:dyDescent="0.3">
      <c r="A223" t="s">
        <v>180</v>
      </c>
      <c r="B223" t="s">
        <v>270</v>
      </c>
      <c r="C223" t="s">
        <v>2</v>
      </c>
      <c r="D223" t="s">
        <v>27</v>
      </c>
      <c r="E223" t="s">
        <v>5</v>
      </c>
      <c r="F223">
        <v>0.26590000000000003</v>
      </c>
      <c r="G223" t="s">
        <v>239</v>
      </c>
    </row>
    <row r="224" spans="1:7" x14ac:dyDescent="0.3">
      <c r="A224" t="s">
        <v>180</v>
      </c>
      <c r="B224" t="s">
        <v>270</v>
      </c>
      <c r="C224" t="s">
        <v>3</v>
      </c>
      <c r="D224" t="s">
        <v>27</v>
      </c>
      <c r="E224" t="s">
        <v>5</v>
      </c>
      <c r="F224">
        <v>0.56759999999999999</v>
      </c>
      <c r="G224" t="s">
        <v>239</v>
      </c>
    </row>
    <row r="225" spans="1:7" x14ac:dyDescent="0.3">
      <c r="A225" t="s">
        <v>180</v>
      </c>
      <c r="B225" t="s">
        <v>270</v>
      </c>
      <c r="C225" t="s">
        <v>4</v>
      </c>
      <c r="D225" t="s">
        <v>27</v>
      </c>
      <c r="E225" t="s">
        <v>5</v>
      </c>
      <c r="F225">
        <v>0.2288</v>
      </c>
      <c r="G225" t="s">
        <v>239</v>
      </c>
    </row>
    <row r="226" spans="1:7" x14ac:dyDescent="0.3">
      <c r="A226" t="s">
        <v>180</v>
      </c>
      <c r="B226" t="s">
        <v>270</v>
      </c>
      <c r="C226" t="s">
        <v>179</v>
      </c>
      <c r="D226" t="s">
        <v>27</v>
      </c>
      <c r="E226" t="s">
        <v>5</v>
      </c>
      <c r="F226">
        <v>0.32769999999999999</v>
      </c>
      <c r="G226" t="s">
        <v>239</v>
      </c>
    </row>
    <row r="227" spans="1:7" x14ac:dyDescent="0.3">
      <c r="A227" t="s">
        <v>180</v>
      </c>
      <c r="B227" t="s">
        <v>269</v>
      </c>
      <c r="C227" t="s">
        <v>176</v>
      </c>
      <c r="D227" t="s">
        <v>27</v>
      </c>
      <c r="E227" t="s">
        <v>5</v>
      </c>
      <c r="F227">
        <v>0.15670000000000001</v>
      </c>
      <c r="G227" t="s">
        <v>239</v>
      </c>
    </row>
    <row r="228" spans="1:7" x14ac:dyDescent="0.3">
      <c r="A228" t="s">
        <v>180</v>
      </c>
      <c r="B228" t="s">
        <v>269</v>
      </c>
      <c r="C228" t="s">
        <v>177</v>
      </c>
      <c r="D228" t="s">
        <v>27</v>
      </c>
      <c r="E228" t="s">
        <v>5</v>
      </c>
      <c r="F228">
        <v>0.1411</v>
      </c>
      <c r="G228" t="s">
        <v>239</v>
      </c>
    </row>
    <row r="229" spans="1:7" x14ac:dyDescent="0.3">
      <c r="A229" t="s">
        <v>180</v>
      </c>
      <c r="B229" t="s">
        <v>269</v>
      </c>
      <c r="C229" t="s">
        <v>178</v>
      </c>
      <c r="D229" t="s">
        <v>27</v>
      </c>
      <c r="E229" t="s">
        <v>5</v>
      </c>
      <c r="F229">
        <v>0.63890000000000002</v>
      </c>
      <c r="G229" t="s">
        <v>239</v>
      </c>
    </row>
    <row r="230" spans="1:7" x14ac:dyDescent="0.3">
      <c r="A230" t="s">
        <v>180</v>
      </c>
      <c r="B230" t="s">
        <v>269</v>
      </c>
      <c r="C230" t="s">
        <v>0</v>
      </c>
      <c r="D230" t="s">
        <v>27</v>
      </c>
      <c r="E230" t="s">
        <v>5</v>
      </c>
      <c r="F230">
        <v>0.87090000000000001</v>
      </c>
      <c r="G230" t="s">
        <v>239</v>
      </c>
    </row>
    <row r="231" spans="1:7" x14ac:dyDescent="0.3">
      <c r="A231" t="s">
        <v>180</v>
      </c>
      <c r="B231" t="s">
        <v>269</v>
      </c>
      <c r="C231" t="s">
        <v>1</v>
      </c>
      <c r="D231" t="s">
        <v>27</v>
      </c>
      <c r="E231" t="s">
        <v>5</v>
      </c>
      <c r="F231">
        <v>1.1822999999999999</v>
      </c>
      <c r="G231" t="s">
        <v>239</v>
      </c>
    </row>
    <row r="232" spans="1:7" x14ac:dyDescent="0.3">
      <c r="A232" t="s">
        <v>180</v>
      </c>
      <c r="B232" t="s">
        <v>269</v>
      </c>
      <c r="C232" t="s">
        <v>2</v>
      </c>
      <c r="D232" t="s">
        <v>27</v>
      </c>
      <c r="E232" t="s">
        <v>5</v>
      </c>
      <c r="F232">
        <v>1.2272000000000001</v>
      </c>
      <c r="G232" t="s">
        <v>239</v>
      </c>
    </row>
    <row r="233" spans="1:7" x14ac:dyDescent="0.3">
      <c r="A233" t="s">
        <v>180</v>
      </c>
      <c r="B233" t="s">
        <v>269</v>
      </c>
      <c r="C233" t="s">
        <v>3</v>
      </c>
      <c r="D233" t="s">
        <v>27</v>
      </c>
      <c r="E233" t="s">
        <v>5</v>
      </c>
      <c r="F233">
        <v>0.59309999999999996</v>
      </c>
      <c r="G233" t="s">
        <v>239</v>
      </c>
    </row>
    <row r="234" spans="1:7" x14ac:dyDescent="0.3">
      <c r="A234" t="s">
        <v>180</v>
      </c>
      <c r="B234" t="s">
        <v>269</v>
      </c>
      <c r="C234" t="s">
        <v>4</v>
      </c>
      <c r="D234" t="s">
        <v>27</v>
      </c>
      <c r="E234" t="s">
        <v>5</v>
      </c>
      <c r="F234">
        <v>0.65990000000000004</v>
      </c>
      <c r="G234" t="s">
        <v>239</v>
      </c>
    </row>
    <row r="235" spans="1:7" x14ac:dyDescent="0.3">
      <c r="A235" t="s">
        <v>180</v>
      </c>
      <c r="B235" t="s">
        <v>269</v>
      </c>
      <c r="C235" t="s">
        <v>179</v>
      </c>
      <c r="D235" t="s">
        <v>27</v>
      </c>
      <c r="E235" t="s">
        <v>5</v>
      </c>
      <c r="F235">
        <v>0.58589999999999998</v>
      </c>
      <c r="G235" t="s">
        <v>239</v>
      </c>
    </row>
    <row r="236" spans="1:7" x14ac:dyDescent="0.3">
      <c r="A236" t="s">
        <v>180</v>
      </c>
      <c r="B236" t="s">
        <v>17</v>
      </c>
      <c r="C236" t="s">
        <v>176</v>
      </c>
      <c r="D236" t="s">
        <v>27</v>
      </c>
      <c r="E236" t="s">
        <v>5</v>
      </c>
      <c r="F236">
        <v>2.5899999999999999E-2</v>
      </c>
      <c r="G236" t="s">
        <v>239</v>
      </c>
    </row>
    <row r="237" spans="1:7" x14ac:dyDescent="0.3">
      <c r="A237" t="s">
        <v>180</v>
      </c>
      <c r="B237" t="s">
        <v>17</v>
      </c>
      <c r="C237" t="s">
        <v>177</v>
      </c>
      <c r="D237" t="s">
        <v>27</v>
      </c>
      <c r="E237" t="s">
        <v>5</v>
      </c>
      <c r="F237">
        <v>0</v>
      </c>
      <c r="G237" t="s">
        <v>239</v>
      </c>
    </row>
    <row r="238" spans="1:7" x14ac:dyDescent="0.3">
      <c r="A238" t="s">
        <v>180</v>
      </c>
      <c r="B238" t="s">
        <v>17</v>
      </c>
      <c r="C238" t="s">
        <v>178</v>
      </c>
      <c r="D238" t="s">
        <v>27</v>
      </c>
      <c r="E238" t="s">
        <v>5</v>
      </c>
      <c r="F238">
        <v>0.55669999999999997</v>
      </c>
      <c r="G238" t="s">
        <v>239</v>
      </c>
    </row>
    <row r="239" spans="1:7" x14ac:dyDescent="0.3">
      <c r="A239" t="s">
        <v>180</v>
      </c>
      <c r="B239" t="s">
        <v>17</v>
      </c>
      <c r="C239" t="s">
        <v>0</v>
      </c>
      <c r="D239" t="s">
        <v>27</v>
      </c>
      <c r="E239" t="s">
        <v>5</v>
      </c>
      <c r="F239">
        <v>2.0807000000000002</v>
      </c>
      <c r="G239" t="s">
        <v>239</v>
      </c>
    </row>
    <row r="240" spans="1:7" x14ac:dyDescent="0.3">
      <c r="A240" t="s">
        <v>180</v>
      </c>
      <c r="B240" t="s">
        <v>17</v>
      </c>
      <c r="C240" t="s">
        <v>1</v>
      </c>
      <c r="D240" t="s">
        <v>27</v>
      </c>
      <c r="E240" t="s">
        <v>5</v>
      </c>
      <c r="F240">
        <v>5.0080999999999998</v>
      </c>
      <c r="G240" t="s">
        <v>239</v>
      </c>
    </row>
    <row r="241" spans="1:7" x14ac:dyDescent="0.3">
      <c r="A241" s="71" t="s">
        <v>180</v>
      </c>
      <c r="B241" s="71" t="s">
        <v>17</v>
      </c>
      <c r="C241" s="71" t="s">
        <v>2</v>
      </c>
      <c r="D241" s="71" t="s">
        <v>27</v>
      </c>
      <c r="E241" s="71" t="s">
        <v>5</v>
      </c>
      <c r="F241" s="71">
        <v>13.476820142059868</v>
      </c>
      <c r="G241" s="71" t="s">
        <v>239</v>
      </c>
    </row>
    <row r="242" spans="1:7" x14ac:dyDescent="0.3">
      <c r="A242" s="71" t="s">
        <v>180</v>
      </c>
      <c r="B242" s="71" t="s">
        <v>17</v>
      </c>
      <c r="C242" s="71" t="s">
        <v>3</v>
      </c>
      <c r="D242" s="71" t="s">
        <v>27</v>
      </c>
      <c r="E242" s="71" t="s">
        <v>5</v>
      </c>
      <c r="F242" s="71">
        <v>8.2430555555555554</v>
      </c>
      <c r="G242" s="71" t="s">
        <v>239</v>
      </c>
    </row>
    <row r="243" spans="1:7" x14ac:dyDescent="0.3">
      <c r="A243" s="71" t="s">
        <v>180</v>
      </c>
      <c r="B243" s="71" t="s">
        <v>17</v>
      </c>
      <c r="C243" s="71" t="s">
        <v>4</v>
      </c>
      <c r="D243" s="71" t="s">
        <v>27</v>
      </c>
      <c r="E243" s="71" t="s">
        <v>5</v>
      </c>
      <c r="F243" s="71">
        <v>16.706684424150179</v>
      </c>
      <c r="G243" s="71" t="s">
        <v>239</v>
      </c>
    </row>
    <row r="244" spans="1:7" x14ac:dyDescent="0.3">
      <c r="A244" s="71" t="s">
        <v>180</v>
      </c>
      <c r="B244" s="71" t="s">
        <v>17</v>
      </c>
      <c r="C244" s="71" t="s">
        <v>179</v>
      </c>
      <c r="D244" s="71" t="s">
        <v>27</v>
      </c>
      <c r="E244" s="71" t="s">
        <v>5</v>
      </c>
      <c r="F244" s="71">
        <v>18.94742516489092</v>
      </c>
      <c r="G244" s="71" t="s">
        <v>239</v>
      </c>
    </row>
    <row r="245" spans="1:7" x14ac:dyDescent="0.3">
      <c r="A245" t="s">
        <v>180</v>
      </c>
      <c r="B245" t="s">
        <v>170</v>
      </c>
      <c r="C245" t="s">
        <v>176</v>
      </c>
      <c r="D245" t="s">
        <v>27</v>
      </c>
      <c r="E245" t="s">
        <v>5</v>
      </c>
      <c r="F245">
        <v>0</v>
      </c>
      <c r="G245" t="s">
        <v>239</v>
      </c>
    </row>
    <row r="246" spans="1:7" x14ac:dyDescent="0.3">
      <c r="A246" t="s">
        <v>180</v>
      </c>
      <c r="B246" t="s">
        <v>170</v>
      </c>
      <c r="C246" t="s">
        <v>177</v>
      </c>
      <c r="D246" t="s">
        <v>27</v>
      </c>
      <c r="E246" t="s">
        <v>5</v>
      </c>
      <c r="F246">
        <v>0</v>
      </c>
      <c r="G246" t="s">
        <v>239</v>
      </c>
    </row>
    <row r="247" spans="1:7" x14ac:dyDescent="0.3">
      <c r="A247" t="s">
        <v>180</v>
      </c>
      <c r="B247" t="s">
        <v>170</v>
      </c>
      <c r="C247" t="s">
        <v>178</v>
      </c>
      <c r="D247" t="s">
        <v>27</v>
      </c>
      <c r="E247" t="s">
        <v>5</v>
      </c>
      <c r="F247">
        <v>0</v>
      </c>
      <c r="G247" t="s">
        <v>239</v>
      </c>
    </row>
    <row r="248" spans="1:7" x14ac:dyDescent="0.3">
      <c r="A248" t="s">
        <v>180</v>
      </c>
      <c r="B248" t="s">
        <v>170</v>
      </c>
      <c r="C248" t="s">
        <v>0</v>
      </c>
      <c r="D248" t="s">
        <v>27</v>
      </c>
      <c r="E248" t="s">
        <v>5</v>
      </c>
      <c r="F248">
        <v>0</v>
      </c>
      <c r="G248" t="s">
        <v>239</v>
      </c>
    </row>
    <row r="249" spans="1:7" x14ac:dyDescent="0.3">
      <c r="A249" t="s">
        <v>180</v>
      </c>
      <c r="B249" t="s">
        <v>170</v>
      </c>
      <c r="C249" t="s">
        <v>1</v>
      </c>
      <c r="D249" t="s">
        <v>27</v>
      </c>
      <c r="E249" t="s">
        <v>5</v>
      </c>
      <c r="F249">
        <v>0</v>
      </c>
      <c r="G249" t="s">
        <v>239</v>
      </c>
    </row>
    <row r="250" spans="1:7" x14ac:dyDescent="0.3">
      <c r="A250" s="71" t="s">
        <v>180</v>
      </c>
      <c r="B250" s="71" t="s">
        <v>170</v>
      </c>
      <c r="C250" s="71" t="s">
        <v>2</v>
      </c>
      <c r="D250" s="71" t="s">
        <v>27</v>
      </c>
      <c r="E250" s="71" t="s">
        <v>5</v>
      </c>
      <c r="F250" s="71">
        <v>3.0712328767123287</v>
      </c>
      <c r="G250" s="71" t="s">
        <v>239</v>
      </c>
    </row>
    <row r="251" spans="1:7" x14ac:dyDescent="0.3">
      <c r="A251" s="71" t="s">
        <v>180</v>
      </c>
      <c r="B251" s="71" t="s">
        <v>170</v>
      </c>
      <c r="C251" s="71" t="s">
        <v>3</v>
      </c>
      <c r="D251" s="71" t="s">
        <v>27</v>
      </c>
      <c r="E251" s="71" t="s">
        <v>5</v>
      </c>
      <c r="F251" s="71">
        <v>2.1538812785388126</v>
      </c>
      <c r="G251" s="71" t="s">
        <v>239</v>
      </c>
    </row>
    <row r="252" spans="1:7" x14ac:dyDescent="0.3">
      <c r="A252" s="71" t="s">
        <v>180</v>
      </c>
      <c r="B252" s="71" t="s">
        <v>170</v>
      </c>
      <c r="C252" s="71" t="s">
        <v>4</v>
      </c>
      <c r="D252" s="71" t="s">
        <v>27</v>
      </c>
      <c r="E252" s="71" t="s">
        <v>5</v>
      </c>
      <c r="F252" s="71">
        <v>3.7883561643835617</v>
      </c>
      <c r="G252" s="71" t="s">
        <v>239</v>
      </c>
    </row>
    <row r="253" spans="1:7" x14ac:dyDescent="0.3">
      <c r="A253" s="71" t="s">
        <v>180</v>
      </c>
      <c r="B253" s="71" t="s">
        <v>170</v>
      </c>
      <c r="C253" s="71" t="s">
        <v>179</v>
      </c>
      <c r="D253" s="71" t="s">
        <v>27</v>
      </c>
      <c r="E253" s="71" t="s">
        <v>5</v>
      </c>
      <c r="F253" s="71">
        <v>4.0367579908675797</v>
      </c>
      <c r="G253" s="71" t="s">
        <v>239</v>
      </c>
    </row>
    <row r="254" spans="1:7" x14ac:dyDescent="0.3">
      <c r="A254" t="s">
        <v>180</v>
      </c>
      <c r="B254" t="s">
        <v>268</v>
      </c>
      <c r="C254" t="s">
        <v>176</v>
      </c>
      <c r="D254" t="s">
        <v>27</v>
      </c>
      <c r="E254" t="s">
        <v>5</v>
      </c>
      <c r="F254">
        <v>0.27089999999999997</v>
      </c>
      <c r="G254" t="s">
        <v>239</v>
      </c>
    </row>
    <row r="255" spans="1:7" x14ac:dyDescent="0.3">
      <c r="A255" t="s">
        <v>180</v>
      </c>
      <c r="B255" t="s">
        <v>268</v>
      </c>
      <c r="C255" t="s">
        <v>177</v>
      </c>
      <c r="D255" t="s">
        <v>27</v>
      </c>
      <c r="E255" t="s">
        <v>5</v>
      </c>
      <c r="F255">
        <v>0.20710000000000001</v>
      </c>
      <c r="G255" t="s">
        <v>239</v>
      </c>
    </row>
    <row r="256" spans="1:7" x14ac:dyDescent="0.3">
      <c r="A256" t="s">
        <v>180</v>
      </c>
      <c r="B256" t="s">
        <v>268</v>
      </c>
      <c r="C256" t="s">
        <v>178</v>
      </c>
      <c r="D256" t="s">
        <v>27</v>
      </c>
      <c r="E256" t="s">
        <v>5</v>
      </c>
      <c r="F256">
        <v>0.16650000000000001</v>
      </c>
      <c r="G256" t="s">
        <v>239</v>
      </c>
    </row>
    <row r="257" spans="1:7" x14ac:dyDescent="0.3">
      <c r="A257" t="s">
        <v>180</v>
      </c>
      <c r="B257" t="s">
        <v>268</v>
      </c>
      <c r="C257" t="s">
        <v>0</v>
      </c>
      <c r="D257" t="s">
        <v>27</v>
      </c>
      <c r="E257" t="s">
        <v>5</v>
      </c>
      <c r="F257">
        <v>9.7999999999999997E-3</v>
      </c>
      <c r="G257" t="s">
        <v>239</v>
      </c>
    </row>
    <row r="258" spans="1:7" x14ac:dyDescent="0.3">
      <c r="A258" t="s">
        <v>180</v>
      </c>
      <c r="B258" t="s">
        <v>268</v>
      </c>
      <c r="C258" t="s">
        <v>1</v>
      </c>
      <c r="D258" t="s">
        <v>27</v>
      </c>
      <c r="E258" t="s">
        <v>5</v>
      </c>
      <c r="F258">
        <v>1.4999999999999999E-2</v>
      </c>
      <c r="G258" t="s">
        <v>239</v>
      </c>
    </row>
    <row r="259" spans="1:7" x14ac:dyDescent="0.3">
      <c r="A259" t="s">
        <v>180</v>
      </c>
      <c r="B259" t="s">
        <v>268</v>
      </c>
      <c r="C259" t="s">
        <v>2</v>
      </c>
      <c r="D259" t="s">
        <v>27</v>
      </c>
      <c r="E259" t="s">
        <v>5</v>
      </c>
      <c r="F259">
        <v>3.4200000000000001E-2</v>
      </c>
      <c r="G259" t="s">
        <v>239</v>
      </c>
    </row>
    <row r="260" spans="1:7" x14ac:dyDescent="0.3">
      <c r="A260" t="s">
        <v>180</v>
      </c>
      <c r="B260" t="s">
        <v>268</v>
      </c>
      <c r="C260" t="s">
        <v>3</v>
      </c>
      <c r="D260" t="s">
        <v>27</v>
      </c>
      <c r="E260" t="s">
        <v>5</v>
      </c>
      <c r="F260">
        <v>2.81E-2</v>
      </c>
      <c r="G260" t="s">
        <v>239</v>
      </c>
    </row>
    <row r="261" spans="1:7" x14ac:dyDescent="0.3">
      <c r="A261" t="s">
        <v>180</v>
      </c>
      <c r="B261" t="s">
        <v>268</v>
      </c>
      <c r="C261" t="s">
        <v>4</v>
      </c>
      <c r="D261" t="s">
        <v>27</v>
      </c>
      <c r="E261" t="s">
        <v>5</v>
      </c>
      <c r="F261">
        <v>5.9999999999999995E-4</v>
      </c>
      <c r="G261" t="s">
        <v>239</v>
      </c>
    </row>
    <row r="262" spans="1:7" x14ac:dyDescent="0.3">
      <c r="A262" t="s">
        <v>180</v>
      </c>
      <c r="B262" t="s">
        <v>268</v>
      </c>
      <c r="C262" t="s">
        <v>179</v>
      </c>
      <c r="D262" t="s">
        <v>27</v>
      </c>
      <c r="E262" t="s">
        <v>5</v>
      </c>
      <c r="F262">
        <v>3.3999999999999998E-3</v>
      </c>
      <c r="G262" t="s">
        <v>239</v>
      </c>
    </row>
    <row r="263" spans="1:7" x14ac:dyDescent="0.3">
      <c r="A263" t="s">
        <v>180</v>
      </c>
      <c r="B263" t="s">
        <v>267</v>
      </c>
      <c r="C263" t="s">
        <v>176</v>
      </c>
      <c r="D263" t="s">
        <v>27</v>
      </c>
      <c r="E263" t="s">
        <v>5</v>
      </c>
      <c r="F263">
        <v>5.1799999999999999E-2</v>
      </c>
      <c r="G263" t="s">
        <v>239</v>
      </c>
    </row>
    <row r="264" spans="1:7" x14ac:dyDescent="0.3">
      <c r="A264" t="s">
        <v>180</v>
      </c>
      <c r="B264" t="s">
        <v>267</v>
      </c>
      <c r="C264" t="s">
        <v>177</v>
      </c>
      <c r="D264" t="s">
        <v>27</v>
      </c>
      <c r="E264" t="s">
        <v>5</v>
      </c>
      <c r="F264">
        <v>6.6100000000000006E-2</v>
      </c>
      <c r="G264" t="s">
        <v>239</v>
      </c>
    </row>
    <row r="265" spans="1:7" x14ac:dyDescent="0.3">
      <c r="A265" t="s">
        <v>180</v>
      </c>
      <c r="B265" t="s">
        <v>267</v>
      </c>
      <c r="C265" t="s">
        <v>178</v>
      </c>
      <c r="D265" t="s">
        <v>27</v>
      </c>
      <c r="E265" t="s">
        <v>5</v>
      </c>
      <c r="F265">
        <v>0.16589999999999999</v>
      </c>
      <c r="G265" t="s">
        <v>239</v>
      </c>
    </row>
    <row r="266" spans="1:7" x14ac:dyDescent="0.3">
      <c r="A266" t="s">
        <v>180</v>
      </c>
      <c r="B266" t="s">
        <v>267</v>
      </c>
      <c r="C266" t="s">
        <v>0</v>
      </c>
      <c r="D266" t="s">
        <v>27</v>
      </c>
      <c r="E266" t="s">
        <v>5</v>
      </c>
      <c r="F266">
        <v>0.14249999999999999</v>
      </c>
      <c r="G266" t="s">
        <v>239</v>
      </c>
    </row>
    <row r="267" spans="1:7" x14ac:dyDescent="0.3">
      <c r="A267" t="s">
        <v>180</v>
      </c>
      <c r="B267" t="s">
        <v>267</v>
      </c>
      <c r="C267" t="s">
        <v>1</v>
      </c>
      <c r="D267" t="s">
        <v>27</v>
      </c>
      <c r="E267" t="s">
        <v>5</v>
      </c>
      <c r="F267">
        <v>5.3100000000000001E-2</v>
      </c>
      <c r="G267" t="s">
        <v>239</v>
      </c>
    </row>
    <row r="268" spans="1:7" x14ac:dyDescent="0.3">
      <c r="A268" t="s">
        <v>180</v>
      </c>
      <c r="B268" t="s">
        <v>267</v>
      </c>
      <c r="C268" t="s">
        <v>2</v>
      </c>
      <c r="D268" t="s">
        <v>27</v>
      </c>
      <c r="E268" t="s">
        <v>5</v>
      </c>
      <c r="F268">
        <v>3.2399999999999998E-2</v>
      </c>
      <c r="G268" t="s">
        <v>239</v>
      </c>
    </row>
    <row r="269" spans="1:7" x14ac:dyDescent="0.3">
      <c r="A269" t="s">
        <v>180</v>
      </c>
      <c r="B269" t="s">
        <v>267</v>
      </c>
      <c r="C269" t="s">
        <v>3</v>
      </c>
      <c r="D269" t="s">
        <v>27</v>
      </c>
      <c r="E269" t="s">
        <v>5</v>
      </c>
      <c r="F269">
        <v>2.46E-2</v>
      </c>
      <c r="G269" t="s">
        <v>239</v>
      </c>
    </row>
    <row r="270" spans="1:7" x14ac:dyDescent="0.3">
      <c r="A270" t="s">
        <v>180</v>
      </c>
      <c r="B270" t="s">
        <v>267</v>
      </c>
      <c r="C270" t="s">
        <v>4</v>
      </c>
      <c r="D270" t="s">
        <v>27</v>
      </c>
      <c r="E270" t="s">
        <v>5</v>
      </c>
      <c r="F270">
        <v>5.1999999999999998E-3</v>
      </c>
      <c r="G270" t="s">
        <v>239</v>
      </c>
    </row>
    <row r="271" spans="1:7" x14ac:dyDescent="0.3">
      <c r="A271" t="s">
        <v>180</v>
      </c>
      <c r="B271" t="s">
        <v>267</v>
      </c>
      <c r="C271" t="s">
        <v>179</v>
      </c>
      <c r="D271" t="s">
        <v>27</v>
      </c>
      <c r="E271" t="s">
        <v>5</v>
      </c>
      <c r="F271">
        <v>1.2999999999999999E-3</v>
      </c>
      <c r="G271" t="s">
        <v>239</v>
      </c>
    </row>
    <row r="272" spans="1:7" x14ac:dyDescent="0.3">
      <c r="A272" t="s">
        <v>180</v>
      </c>
      <c r="B272" t="s">
        <v>171</v>
      </c>
      <c r="C272" t="s">
        <v>176</v>
      </c>
      <c r="D272" t="s">
        <v>27</v>
      </c>
      <c r="E272" t="s">
        <v>5</v>
      </c>
      <c r="F272">
        <v>0</v>
      </c>
      <c r="G272" t="s">
        <v>239</v>
      </c>
    </row>
    <row r="273" spans="1:7" x14ac:dyDescent="0.3">
      <c r="A273" t="s">
        <v>180</v>
      </c>
      <c r="B273" t="s">
        <v>171</v>
      </c>
      <c r="C273" t="s">
        <v>177</v>
      </c>
      <c r="D273" t="s">
        <v>27</v>
      </c>
      <c r="E273" t="s">
        <v>5</v>
      </c>
      <c r="F273">
        <v>0</v>
      </c>
      <c r="G273" t="s">
        <v>239</v>
      </c>
    </row>
    <row r="274" spans="1:7" x14ac:dyDescent="0.3">
      <c r="A274" t="s">
        <v>180</v>
      </c>
      <c r="B274" t="s">
        <v>171</v>
      </c>
      <c r="C274" t="s">
        <v>178</v>
      </c>
      <c r="D274" t="s">
        <v>27</v>
      </c>
      <c r="E274" t="s">
        <v>5</v>
      </c>
      <c r="F274">
        <v>0</v>
      </c>
      <c r="G274" t="s">
        <v>239</v>
      </c>
    </row>
    <row r="275" spans="1:7" x14ac:dyDescent="0.3">
      <c r="A275" t="s">
        <v>180</v>
      </c>
      <c r="B275" t="s">
        <v>171</v>
      </c>
      <c r="C275" t="s">
        <v>0</v>
      </c>
      <c r="D275" t="s">
        <v>27</v>
      </c>
      <c r="E275" t="s">
        <v>5</v>
      </c>
      <c r="F275">
        <v>0</v>
      </c>
      <c r="G275" t="s">
        <v>239</v>
      </c>
    </row>
    <row r="276" spans="1:7" x14ac:dyDescent="0.3">
      <c r="A276" t="s">
        <v>180</v>
      </c>
      <c r="B276" t="s">
        <v>171</v>
      </c>
      <c r="C276" t="s">
        <v>1</v>
      </c>
      <c r="D276" t="s">
        <v>27</v>
      </c>
      <c r="E276" t="s">
        <v>5</v>
      </c>
      <c r="F276">
        <v>0</v>
      </c>
      <c r="G276" t="s">
        <v>239</v>
      </c>
    </row>
    <row r="277" spans="1:7" x14ac:dyDescent="0.3">
      <c r="A277" t="s">
        <v>180</v>
      </c>
      <c r="B277" t="s">
        <v>171</v>
      </c>
      <c r="C277" t="s">
        <v>2</v>
      </c>
      <c r="D277" t="s">
        <v>27</v>
      </c>
      <c r="E277" t="s">
        <v>5</v>
      </c>
      <c r="F277">
        <v>0</v>
      </c>
      <c r="G277" t="s">
        <v>239</v>
      </c>
    </row>
    <row r="278" spans="1:7" x14ac:dyDescent="0.3">
      <c r="A278" t="s">
        <v>180</v>
      </c>
      <c r="B278" t="s">
        <v>171</v>
      </c>
      <c r="C278" t="s">
        <v>3</v>
      </c>
      <c r="D278" t="s">
        <v>27</v>
      </c>
      <c r="E278" t="s">
        <v>5</v>
      </c>
      <c r="F278">
        <v>0</v>
      </c>
      <c r="G278" t="s">
        <v>239</v>
      </c>
    </row>
    <row r="279" spans="1:7" x14ac:dyDescent="0.3">
      <c r="A279" t="s">
        <v>180</v>
      </c>
      <c r="B279" t="s">
        <v>171</v>
      </c>
      <c r="C279" t="s">
        <v>4</v>
      </c>
      <c r="D279" t="s">
        <v>27</v>
      </c>
      <c r="E279" t="s">
        <v>5</v>
      </c>
      <c r="F279">
        <v>0</v>
      </c>
      <c r="G279" t="s">
        <v>239</v>
      </c>
    </row>
    <row r="280" spans="1:7" x14ac:dyDescent="0.3">
      <c r="A280" t="s">
        <v>180</v>
      </c>
      <c r="B280" t="s">
        <v>171</v>
      </c>
      <c r="C280" t="s">
        <v>179</v>
      </c>
      <c r="D280" t="s">
        <v>27</v>
      </c>
      <c r="E280" t="s">
        <v>5</v>
      </c>
      <c r="F280">
        <v>0</v>
      </c>
      <c r="G280" t="s">
        <v>239</v>
      </c>
    </row>
    <row r="281" spans="1:7" x14ac:dyDescent="0.3">
      <c r="A281" t="s">
        <v>180</v>
      </c>
      <c r="B281" t="s">
        <v>172</v>
      </c>
      <c r="C281" t="s">
        <v>176</v>
      </c>
      <c r="D281" t="s">
        <v>27</v>
      </c>
      <c r="E281" t="s">
        <v>5</v>
      </c>
      <c r="F281">
        <v>0.34611208921153491</v>
      </c>
      <c r="G281" t="s">
        <v>239</v>
      </c>
    </row>
    <row r="282" spans="1:7" x14ac:dyDescent="0.3">
      <c r="A282" t="s">
        <v>180</v>
      </c>
      <c r="B282" t="s">
        <v>172</v>
      </c>
      <c r="C282" t="s">
        <v>177</v>
      </c>
      <c r="D282" t="s">
        <v>27</v>
      </c>
      <c r="E282" t="s">
        <v>5</v>
      </c>
      <c r="F282">
        <v>0.53418217536162982</v>
      </c>
      <c r="G282" t="s">
        <v>239</v>
      </c>
    </row>
    <row r="283" spans="1:7" x14ac:dyDescent="0.3">
      <c r="A283" t="s">
        <v>180</v>
      </c>
      <c r="B283" t="s">
        <v>172</v>
      </c>
      <c r="C283" t="s">
        <v>178</v>
      </c>
      <c r="D283" t="s">
        <v>27</v>
      </c>
      <c r="E283" t="s">
        <v>5</v>
      </c>
      <c r="F283">
        <v>0.51128297584865401</v>
      </c>
      <c r="G283" t="s">
        <v>239</v>
      </c>
    </row>
    <row r="284" spans="1:7" x14ac:dyDescent="0.3">
      <c r="A284" t="s">
        <v>180</v>
      </c>
      <c r="B284" t="s">
        <v>172</v>
      </c>
      <c r="C284" t="s">
        <v>0</v>
      </c>
      <c r="D284" t="s">
        <v>27</v>
      </c>
      <c r="E284" t="s">
        <v>5</v>
      </c>
      <c r="F284">
        <v>0.83597828849236455</v>
      </c>
      <c r="G284" t="s">
        <v>239</v>
      </c>
    </row>
    <row r="285" spans="1:7" x14ac:dyDescent="0.3">
      <c r="A285" t="s">
        <v>180</v>
      </c>
      <c r="B285" t="s">
        <v>172</v>
      </c>
      <c r="C285" t="s">
        <v>1</v>
      </c>
      <c r="D285" t="s">
        <v>27</v>
      </c>
      <c r="E285" t="s">
        <v>5</v>
      </c>
      <c r="F285">
        <v>0.95738345167950079</v>
      </c>
      <c r="G285" t="s">
        <v>239</v>
      </c>
    </row>
    <row r="286" spans="1:7" x14ac:dyDescent="0.3">
      <c r="A286" t="s">
        <v>180</v>
      </c>
      <c r="B286" t="s">
        <v>172</v>
      </c>
      <c r="C286" t="s">
        <v>2</v>
      </c>
      <c r="D286" t="s">
        <v>27</v>
      </c>
      <c r="E286" t="s">
        <v>5</v>
      </c>
      <c r="F286">
        <v>1.0064655566440881</v>
      </c>
      <c r="G286" t="s">
        <v>239</v>
      </c>
    </row>
    <row r="287" spans="1:7" x14ac:dyDescent="0.3">
      <c r="A287" t="s">
        <v>180</v>
      </c>
      <c r="B287" t="s">
        <v>172</v>
      </c>
      <c r="C287" t="s">
        <v>3</v>
      </c>
      <c r="D287" t="s">
        <v>27</v>
      </c>
      <c r="E287" t="s">
        <v>5</v>
      </c>
      <c r="F287">
        <v>2.0235189659668258</v>
      </c>
      <c r="G287" t="s">
        <v>239</v>
      </c>
    </row>
    <row r="288" spans="1:7" x14ac:dyDescent="0.3">
      <c r="A288" t="s">
        <v>180</v>
      </c>
      <c r="B288" t="s">
        <v>172</v>
      </c>
      <c r="C288" t="s">
        <v>4</v>
      </c>
      <c r="D288" t="s">
        <v>27</v>
      </c>
      <c r="E288" t="s">
        <v>5</v>
      </c>
      <c r="F288">
        <v>0.98575898355908853</v>
      </c>
      <c r="G288" t="s">
        <v>239</v>
      </c>
    </row>
    <row r="289" spans="1:7" x14ac:dyDescent="0.3">
      <c r="A289" t="s">
        <v>180</v>
      </c>
      <c r="B289" t="s">
        <v>172</v>
      </c>
      <c r="C289" t="s">
        <v>179</v>
      </c>
      <c r="D289" t="s">
        <v>27</v>
      </c>
      <c r="E289" t="s">
        <v>5</v>
      </c>
      <c r="F289">
        <v>1.086330291407138</v>
      </c>
      <c r="G289" t="s">
        <v>239</v>
      </c>
    </row>
    <row r="290" spans="1:7" x14ac:dyDescent="0.3">
      <c r="A290" t="s">
        <v>180</v>
      </c>
      <c r="B290" t="s">
        <v>136</v>
      </c>
      <c r="C290" t="s">
        <v>176</v>
      </c>
      <c r="D290" t="s">
        <v>27</v>
      </c>
      <c r="E290" t="s">
        <v>5</v>
      </c>
      <c r="F290">
        <v>4.7309999999999999</v>
      </c>
      <c r="G290" t="s">
        <v>239</v>
      </c>
    </row>
    <row r="291" spans="1:7" x14ac:dyDescent="0.3">
      <c r="A291" t="s">
        <v>180</v>
      </c>
      <c r="B291" t="s">
        <v>136</v>
      </c>
      <c r="C291" t="s">
        <v>177</v>
      </c>
      <c r="D291" t="s">
        <v>27</v>
      </c>
      <c r="E291" t="s">
        <v>5</v>
      </c>
      <c r="F291">
        <v>6.6695000000000002</v>
      </c>
      <c r="G291" t="s">
        <v>239</v>
      </c>
    </row>
    <row r="292" spans="1:7" x14ac:dyDescent="0.3">
      <c r="A292" t="s">
        <v>180</v>
      </c>
      <c r="B292" t="s">
        <v>136</v>
      </c>
      <c r="C292" t="s">
        <v>178</v>
      </c>
      <c r="D292" t="s">
        <v>27</v>
      </c>
      <c r="E292" t="s">
        <v>5</v>
      </c>
      <c r="F292">
        <v>8.5768000000000004</v>
      </c>
      <c r="G292" t="s">
        <v>239</v>
      </c>
    </row>
    <row r="293" spans="1:7" x14ac:dyDescent="0.3">
      <c r="A293" t="s">
        <v>180</v>
      </c>
      <c r="B293" t="s">
        <v>136</v>
      </c>
      <c r="C293" t="s">
        <v>0</v>
      </c>
      <c r="D293" t="s">
        <v>27</v>
      </c>
      <c r="E293" t="s">
        <v>5</v>
      </c>
      <c r="F293">
        <v>13.3787</v>
      </c>
      <c r="G293" t="s">
        <v>239</v>
      </c>
    </row>
    <row r="294" spans="1:7" x14ac:dyDescent="0.3">
      <c r="A294" t="s">
        <v>180</v>
      </c>
      <c r="B294" t="s">
        <v>136</v>
      </c>
      <c r="C294" t="s">
        <v>1</v>
      </c>
      <c r="D294" t="s">
        <v>27</v>
      </c>
      <c r="E294" t="s">
        <v>5</v>
      </c>
      <c r="F294">
        <v>17.463100000000001</v>
      </c>
      <c r="G294" t="s">
        <v>239</v>
      </c>
    </row>
    <row r="295" spans="1:7" x14ac:dyDescent="0.3">
      <c r="A295" t="s">
        <v>180</v>
      </c>
      <c r="B295" t="s">
        <v>136</v>
      </c>
      <c r="C295" t="s">
        <v>2</v>
      </c>
      <c r="D295" t="s">
        <v>27</v>
      </c>
      <c r="E295" t="s">
        <v>5</v>
      </c>
      <c r="F295">
        <v>22.124300000000002</v>
      </c>
      <c r="G295" t="s">
        <v>239</v>
      </c>
    </row>
    <row r="296" spans="1:7" x14ac:dyDescent="0.3">
      <c r="A296" t="s">
        <v>180</v>
      </c>
      <c r="B296" t="s">
        <v>136</v>
      </c>
      <c r="C296" t="s">
        <v>3</v>
      </c>
      <c r="D296" t="s">
        <v>27</v>
      </c>
      <c r="E296" t="s">
        <v>5</v>
      </c>
      <c r="F296">
        <v>34.0366</v>
      </c>
      <c r="G296" t="s">
        <v>239</v>
      </c>
    </row>
    <row r="297" spans="1:7" x14ac:dyDescent="0.3">
      <c r="A297" t="s">
        <v>180</v>
      </c>
      <c r="B297" t="s">
        <v>136</v>
      </c>
      <c r="C297" t="s">
        <v>4</v>
      </c>
      <c r="D297" t="s">
        <v>27</v>
      </c>
      <c r="E297" t="s">
        <v>5</v>
      </c>
      <c r="F297">
        <v>35.816800000000001</v>
      </c>
      <c r="G297" t="s">
        <v>239</v>
      </c>
    </row>
    <row r="298" spans="1:7" x14ac:dyDescent="0.3">
      <c r="A298" t="s">
        <v>180</v>
      </c>
      <c r="B298" t="s">
        <v>136</v>
      </c>
      <c r="C298" t="s">
        <v>179</v>
      </c>
      <c r="D298" t="s">
        <v>27</v>
      </c>
      <c r="E298" t="s">
        <v>5</v>
      </c>
      <c r="F298">
        <v>35.816800000000001</v>
      </c>
      <c r="G298" t="s">
        <v>239</v>
      </c>
    </row>
    <row r="299" spans="1:7" x14ac:dyDescent="0.3">
      <c r="A299" t="s">
        <v>180</v>
      </c>
      <c r="B299" t="s">
        <v>266</v>
      </c>
      <c r="C299" t="s">
        <v>176</v>
      </c>
      <c r="D299" t="s">
        <v>27</v>
      </c>
      <c r="E299" t="s">
        <v>5</v>
      </c>
      <c r="F299">
        <v>0.4466</v>
      </c>
      <c r="G299" t="s">
        <v>239</v>
      </c>
    </row>
    <row r="300" spans="1:7" x14ac:dyDescent="0.3">
      <c r="A300" t="s">
        <v>180</v>
      </c>
      <c r="B300" t="s">
        <v>266</v>
      </c>
      <c r="C300" t="s">
        <v>177</v>
      </c>
      <c r="D300" t="s">
        <v>27</v>
      </c>
      <c r="E300" t="s">
        <v>5</v>
      </c>
      <c r="F300">
        <v>1.1761999999999999</v>
      </c>
      <c r="G300" t="s">
        <v>239</v>
      </c>
    </row>
    <row r="301" spans="1:7" x14ac:dyDescent="0.3">
      <c r="A301" t="s">
        <v>180</v>
      </c>
      <c r="B301" t="s">
        <v>266</v>
      </c>
      <c r="C301" t="s">
        <v>178</v>
      </c>
      <c r="D301" t="s">
        <v>27</v>
      </c>
      <c r="E301" t="s">
        <v>5</v>
      </c>
      <c r="F301">
        <v>2.3048999999999999</v>
      </c>
      <c r="G301" t="s">
        <v>239</v>
      </c>
    </row>
    <row r="302" spans="1:7" x14ac:dyDescent="0.3">
      <c r="A302" t="s">
        <v>180</v>
      </c>
      <c r="B302" t="s">
        <v>266</v>
      </c>
      <c r="C302" t="s">
        <v>0</v>
      </c>
      <c r="D302" t="s">
        <v>27</v>
      </c>
      <c r="E302" t="s">
        <v>5</v>
      </c>
      <c r="F302">
        <v>2.6372</v>
      </c>
      <c r="G302" t="s">
        <v>239</v>
      </c>
    </row>
    <row r="303" spans="1:7" x14ac:dyDescent="0.3">
      <c r="A303" t="s">
        <v>180</v>
      </c>
      <c r="B303" t="s">
        <v>266</v>
      </c>
      <c r="C303" t="s">
        <v>1</v>
      </c>
      <c r="D303" t="s">
        <v>27</v>
      </c>
      <c r="E303" t="s">
        <v>5</v>
      </c>
      <c r="F303">
        <v>2.1739999999999999</v>
      </c>
      <c r="G303" t="s">
        <v>239</v>
      </c>
    </row>
    <row r="304" spans="1:7" x14ac:dyDescent="0.3">
      <c r="A304" t="s">
        <v>180</v>
      </c>
      <c r="B304" t="s">
        <v>266</v>
      </c>
      <c r="C304" t="s">
        <v>2</v>
      </c>
      <c r="D304" t="s">
        <v>27</v>
      </c>
      <c r="E304" t="s">
        <v>5</v>
      </c>
      <c r="F304">
        <v>3.2501000000000002</v>
      </c>
      <c r="G304" t="s">
        <v>239</v>
      </c>
    </row>
    <row r="305" spans="1:7" x14ac:dyDescent="0.3">
      <c r="A305" t="s">
        <v>180</v>
      </c>
      <c r="B305" t="s">
        <v>266</v>
      </c>
      <c r="C305" t="s">
        <v>3</v>
      </c>
      <c r="D305" t="s">
        <v>27</v>
      </c>
      <c r="E305" t="s">
        <v>5</v>
      </c>
      <c r="F305">
        <v>3.8260999999999998</v>
      </c>
      <c r="G305" t="s">
        <v>239</v>
      </c>
    </row>
    <row r="306" spans="1:7" x14ac:dyDescent="0.3">
      <c r="A306" t="s">
        <v>180</v>
      </c>
      <c r="B306" t="s">
        <v>266</v>
      </c>
      <c r="C306" t="s">
        <v>4</v>
      </c>
      <c r="D306" t="s">
        <v>27</v>
      </c>
      <c r="E306" t="s">
        <v>5</v>
      </c>
      <c r="F306">
        <v>4.2256999999999998</v>
      </c>
      <c r="G306" t="s">
        <v>239</v>
      </c>
    </row>
    <row r="307" spans="1:7" x14ac:dyDescent="0.3">
      <c r="A307" t="s">
        <v>180</v>
      </c>
      <c r="B307" t="s">
        <v>266</v>
      </c>
      <c r="C307" t="s">
        <v>179</v>
      </c>
      <c r="D307" t="s">
        <v>27</v>
      </c>
      <c r="E307" t="s">
        <v>5</v>
      </c>
      <c r="F307">
        <v>3.9184000000000001</v>
      </c>
      <c r="G307" t="s">
        <v>239</v>
      </c>
    </row>
    <row r="308" spans="1:7" x14ac:dyDescent="0.3">
      <c r="A308" t="s">
        <v>180</v>
      </c>
      <c r="B308" t="s">
        <v>265</v>
      </c>
      <c r="C308" t="s">
        <v>176</v>
      </c>
      <c r="D308" t="s">
        <v>27</v>
      </c>
      <c r="E308" t="s">
        <v>5</v>
      </c>
      <c r="F308">
        <v>1.6495</v>
      </c>
      <c r="G308" t="s">
        <v>239</v>
      </c>
    </row>
    <row r="309" spans="1:7" x14ac:dyDescent="0.3">
      <c r="A309" t="s">
        <v>180</v>
      </c>
      <c r="B309" t="s">
        <v>265</v>
      </c>
      <c r="C309" t="s">
        <v>177</v>
      </c>
      <c r="D309" t="s">
        <v>27</v>
      </c>
      <c r="E309" t="s">
        <v>5</v>
      </c>
      <c r="F309">
        <v>1.6171</v>
      </c>
      <c r="G309" t="s">
        <v>239</v>
      </c>
    </row>
    <row r="310" spans="1:7" x14ac:dyDescent="0.3">
      <c r="A310" t="s">
        <v>180</v>
      </c>
      <c r="B310" t="s">
        <v>265</v>
      </c>
      <c r="C310" t="s">
        <v>178</v>
      </c>
      <c r="D310" t="s">
        <v>27</v>
      </c>
      <c r="E310" t="s">
        <v>5</v>
      </c>
      <c r="F310">
        <v>1.7528999999999999</v>
      </c>
      <c r="G310" t="s">
        <v>239</v>
      </c>
    </row>
    <row r="311" spans="1:7" x14ac:dyDescent="0.3">
      <c r="A311" t="s">
        <v>180</v>
      </c>
      <c r="B311" t="s">
        <v>265</v>
      </c>
      <c r="C311" t="s">
        <v>0</v>
      </c>
      <c r="D311" t="s">
        <v>27</v>
      </c>
      <c r="E311" t="s">
        <v>5</v>
      </c>
      <c r="F311">
        <v>2.0920000000000001</v>
      </c>
      <c r="G311" t="s">
        <v>239</v>
      </c>
    </row>
    <row r="312" spans="1:7" x14ac:dyDescent="0.3">
      <c r="A312" t="s">
        <v>180</v>
      </c>
      <c r="B312" t="s">
        <v>265</v>
      </c>
      <c r="C312" t="s">
        <v>1</v>
      </c>
      <c r="D312" t="s">
        <v>27</v>
      </c>
      <c r="E312" t="s">
        <v>5</v>
      </c>
      <c r="F312">
        <v>3.3580999999999999</v>
      </c>
      <c r="G312" t="s">
        <v>239</v>
      </c>
    </row>
    <row r="313" spans="1:7" x14ac:dyDescent="0.3">
      <c r="A313" s="71" t="s">
        <v>180</v>
      </c>
      <c r="B313" s="71" t="s">
        <v>265</v>
      </c>
      <c r="C313" s="71" t="s">
        <v>2</v>
      </c>
      <c r="D313" s="71" t="s">
        <v>27</v>
      </c>
      <c r="E313" s="71" t="s">
        <v>5</v>
      </c>
      <c r="F313" s="71">
        <v>5.9624556062912228</v>
      </c>
      <c r="G313" s="71" t="s">
        <v>239</v>
      </c>
    </row>
    <row r="314" spans="1:7" x14ac:dyDescent="0.3">
      <c r="A314" s="71" t="s">
        <v>180</v>
      </c>
      <c r="B314" s="71" t="s">
        <v>265</v>
      </c>
      <c r="C314" s="71" t="s">
        <v>3</v>
      </c>
      <c r="D314" s="71" t="s">
        <v>27</v>
      </c>
      <c r="E314" s="71" t="s">
        <v>5</v>
      </c>
      <c r="F314" s="71">
        <v>10.830130644342972</v>
      </c>
      <c r="G314" s="71" t="s">
        <v>239</v>
      </c>
    </row>
    <row r="315" spans="1:7" x14ac:dyDescent="0.3">
      <c r="A315" s="71" t="s">
        <v>180</v>
      </c>
      <c r="B315" s="71" t="s">
        <v>265</v>
      </c>
      <c r="C315" s="71" t="s">
        <v>4</v>
      </c>
      <c r="D315" s="71" t="s">
        <v>27</v>
      </c>
      <c r="E315" s="71" t="s">
        <v>5</v>
      </c>
      <c r="F315" s="71">
        <v>11.000317097919838</v>
      </c>
      <c r="G315" s="71" t="s">
        <v>239</v>
      </c>
    </row>
    <row r="316" spans="1:7" x14ac:dyDescent="0.3">
      <c r="A316" s="71" t="s">
        <v>180</v>
      </c>
      <c r="B316" s="71" t="s">
        <v>265</v>
      </c>
      <c r="C316" s="71" t="s">
        <v>179</v>
      </c>
      <c r="D316" s="71" t="s">
        <v>27</v>
      </c>
      <c r="E316" s="71" t="s">
        <v>5</v>
      </c>
      <c r="F316" s="71">
        <v>9.6725012683916791</v>
      </c>
      <c r="G316" s="71" t="s">
        <v>239</v>
      </c>
    </row>
    <row r="317" spans="1:7" x14ac:dyDescent="0.3">
      <c r="A317" t="s">
        <v>180</v>
      </c>
      <c r="B317" t="s">
        <v>18</v>
      </c>
      <c r="C317" t="s">
        <v>176</v>
      </c>
      <c r="D317" t="s">
        <v>27</v>
      </c>
      <c r="E317" t="s">
        <v>5</v>
      </c>
      <c r="F317">
        <v>0</v>
      </c>
      <c r="G317" t="s">
        <v>239</v>
      </c>
    </row>
    <row r="318" spans="1:7" x14ac:dyDescent="0.3">
      <c r="A318" t="s">
        <v>180</v>
      </c>
      <c r="B318" t="s">
        <v>18</v>
      </c>
      <c r="C318" t="s">
        <v>177</v>
      </c>
      <c r="D318" t="s">
        <v>27</v>
      </c>
      <c r="E318" t="s">
        <v>5</v>
      </c>
      <c r="F318">
        <v>0</v>
      </c>
      <c r="G318" t="s">
        <v>239</v>
      </c>
    </row>
    <row r="319" spans="1:7" x14ac:dyDescent="0.3">
      <c r="A319" t="s">
        <v>180</v>
      </c>
      <c r="B319" t="s">
        <v>18</v>
      </c>
      <c r="C319" t="s">
        <v>178</v>
      </c>
      <c r="D319" t="s">
        <v>27</v>
      </c>
      <c r="E319" t="s">
        <v>5</v>
      </c>
      <c r="F319">
        <v>0</v>
      </c>
      <c r="G319" t="s">
        <v>239</v>
      </c>
    </row>
    <row r="320" spans="1:7" x14ac:dyDescent="0.3">
      <c r="A320" t="s">
        <v>180</v>
      </c>
      <c r="B320" t="s">
        <v>18</v>
      </c>
      <c r="C320" t="s">
        <v>0</v>
      </c>
      <c r="D320" t="s">
        <v>27</v>
      </c>
      <c r="E320" t="s">
        <v>5</v>
      </c>
      <c r="F320">
        <v>0</v>
      </c>
      <c r="G320" t="s">
        <v>239</v>
      </c>
    </row>
    <row r="321" spans="1:7" x14ac:dyDescent="0.3">
      <c r="A321" t="s">
        <v>180</v>
      </c>
      <c r="B321" t="s">
        <v>18</v>
      </c>
      <c r="C321" t="s">
        <v>1</v>
      </c>
      <c r="D321" t="s">
        <v>27</v>
      </c>
      <c r="E321" t="s">
        <v>5</v>
      </c>
      <c r="F321">
        <v>0</v>
      </c>
      <c r="G321" t="s">
        <v>239</v>
      </c>
    </row>
    <row r="322" spans="1:7" x14ac:dyDescent="0.3">
      <c r="A322" t="s">
        <v>180</v>
      </c>
      <c r="B322" t="s">
        <v>18</v>
      </c>
      <c r="C322" t="s">
        <v>2</v>
      </c>
      <c r="D322" t="s">
        <v>27</v>
      </c>
      <c r="E322" t="s">
        <v>5</v>
      </c>
      <c r="F322">
        <v>0</v>
      </c>
      <c r="G322" t="s">
        <v>239</v>
      </c>
    </row>
    <row r="323" spans="1:7" x14ac:dyDescent="0.3">
      <c r="A323" t="s">
        <v>180</v>
      </c>
      <c r="B323" t="s">
        <v>18</v>
      </c>
      <c r="C323" t="s">
        <v>3</v>
      </c>
      <c r="D323" t="s">
        <v>27</v>
      </c>
      <c r="E323" t="s">
        <v>5</v>
      </c>
      <c r="F323">
        <v>0</v>
      </c>
      <c r="G323" t="s">
        <v>239</v>
      </c>
    </row>
    <row r="324" spans="1:7" x14ac:dyDescent="0.3">
      <c r="A324" s="71" t="s">
        <v>180</v>
      </c>
      <c r="B324" s="71" t="s">
        <v>18</v>
      </c>
      <c r="C324" s="71" t="s">
        <v>4</v>
      </c>
      <c r="D324" s="71" t="s">
        <v>27</v>
      </c>
      <c r="E324" s="71" t="s">
        <v>5</v>
      </c>
      <c r="F324" s="71">
        <v>2</v>
      </c>
      <c r="G324" s="71" t="s">
        <v>239</v>
      </c>
    </row>
    <row r="325" spans="1:7" x14ac:dyDescent="0.3">
      <c r="A325" s="71" t="s">
        <v>180</v>
      </c>
      <c r="B325" s="71" t="s">
        <v>18</v>
      </c>
      <c r="C325" s="71" t="s">
        <v>179</v>
      </c>
      <c r="D325" s="71" t="s">
        <v>27</v>
      </c>
      <c r="E325" s="71" t="s">
        <v>5</v>
      </c>
      <c r="F325" s="71">
        <v>3.0328196347031962</v>
      </c>
      <c r="G325" s="71" t="s">
        <v>239</v>
      </c>
    </row>
    <row r="326" spans="1:7" x14ac:dyDescent="0.3">
      <c r="A326" t="s">
        <v>180</v>
      </c>
      <c r="B326" t="s">
        <v>173</v>
      </c>
      <c r="C326" t="s">
        <v>176</v>
      </c>
      <c r="D326" t="s">
        <v>27</v>
      </c>
      <c r="E326" t="s">
        <v>5</v>
      </c>
      <c r="F326">
        <v>0</v>
      </c>
      <c r="G326" t="s">
        <v>239</v>
      </c>
    </row>
    <row r="327" spans="1:7" x14ac:dyDescent="0.3">
      <c r="A327" t="s">
        <v>180</v>
      </c>
      <c r="B327" t="s">
        <v>173</v>
      </c>
      <c r="C327" t="s">
        <v>177</v>
      </c>
      <c r="D327" t="s">
        <v>27</v>
      </c>
      <c r="E327" t="s">
        <v>5</v>
      </c>
      <c r="F327">
        <v>0</v>
      </c>
      <c r="G327" t="s">
        <v>239</v>
      </c>
    </row>
    <row r="328" spans="1:7" x14ac:dyDescent="0.3">
      <c r="A328" t="s">
        <v>180</v>
      </c>
      <c r="B328" t="s">
        <v>173</v>
      </c>
      <c r="C328" t="s">
        <v>178</v>
      </c>
      <c r="D328" t="s">
        <v>27</v>
      </c>
      <c r="E328" t="s">
        <v>5</v>
      </c>
      <c r="F328">
        <v>0</v>
      </c>
      <c r="G328" t="s">
        <v>239</v>
      </c>
    </row>
    <row r="329" spans="1:7" x14ac:dyDescent="0.3">
      <c r="A329" t="s">
        <v>180</v>
      </c>
      <c r="B329" t="s">
        <v>173</v>
      </c>
      <c r="C329" t="s">
        <v>0</v>
      </c>
      <c r="D329" t="s">
        <v>27</v>
      </c>
      <c r="E329" t="s">
        <v>5</v>
      </c>
      <c r="F329">
        <v>0</v>
      </c>
      <c r="G329" t="s">
        <v>239</v>
      </c>
    </row>
    <row r="330" spans="1:7" x14ac:dyDescent="0.3">
      <c r="A330" t="s">
        <v>180</v>
      </c>
      <c r="B330" t="s">
        <v>173</v>
      </c>
      <c r="C330" t="s">
        <v>1</v>
      </c>
      <c r="D330" t="s">
        <v>27</v>
      </c>
      <c r="E330" t="s">
        <v>5</v>
      </c>
      <c r="F330">
        <v>0</v>
      </c>
      <c r="G330" t="s">
        <v>239</v>
      </c>
    </row>
    <row r="331" spans="1:7" x14ac:dyDescent="0.3">
      <c r="A331" t="s">
        <v>180</v>
      </c>
      <c r="B331" t="s">
        <v>173</v>
      </c>
      <c r="C331" t="s">
        <v>2</v>
      </c>
      <c r="D331" t="s">
        <v>27</v>
      </c>
      <c r="E331" t="s">
        <v>5</v>
      </c>
      <c r="F331">
        <v>2.4863013698630136</v>
      </c>
      <c r="G331" t="s">
        <v>239</v>
      </c>
    </row>
    <row r="332" spans="1:7" x14ac:dyDescent="0.3">
      <c r="A332" t="s">
        <v>180</v>
      </c>
      <c r="B332" t="s">
        <v>173</v>
      </c>
      <c r="C332" t="s">
        <v>3</v>
      </c>
      <c r="D332" t="s">
        <v>27</v>
      </c>
      <c r="E332" t="s">
        <v>5</v>
      </c>
      <c r="F332">
        <v>4.713013698630137</v>
      </c>
      <c r="G332" t="s">
        <v>239</v>
      </c>
    </row>
    <row r="333" spans="1:7" x14ac:dyDescent="0.3">
      <c r="A333" t="s">
        <v>180</v>
      </c>
      <c r="B333" t="s">
        <v>173</v>
      </c>
      <c r="C333" t="s">
        <v>4</v>
      </c>
      <c r="D333" t="s">
        <v>27</v>
      </c>
      <c r="E333" t="s">
        <v>5</v>
      </c>
      <c r="F333">
        <v>2.9542237442922374</v>
      </c>
      <c r="G333" t="s">
        <v>239</v>
      </c>
    </row>
    <row r="334" spans="1:7" x14ac:dyDescent="0.3">
      <c r="A334" t="s">
        <v>180</v>
      </c>
      <c r="B334" t="s">
        <v>173</v>
      </c>
      <c r="C334" t="s">
        <v>179</v>
      </c>
      <c r="D334" t="s">
        <v>27</v>
      </c>
      <c r="E334" t="s">
        <v>5</v>
      </c>
      <c r="F334">
        <v>3.9955479452054794</v>
      </c>
      <c r="G334" t="s">
        <v>239</v>
      </c>
    </row>
    <row r="335" spans="1:7" x14ac:dyDescent="0.3">
      <c r="A335" t="s">
        <v>180</v>
      </c>
      <c r="B335" t="s">
        <v>264</v>
      </c>
      <c r="C335" t="s">
        <v>176</v>
      </c>
      <c r="D335" t="s">
        <v>27</v>
      </c>
      <c r="E335" t="s">
        <v>5</v>
      </c>
      <c r="F335">
        <v>0.16039999999999999</v>
      </c>
      <c r="G335" t="s">
        <v>239</v>
      </c>
    </row>
    <row r="336" spans="1:7" x14ac:dyDescent="0.3">
      <c r="A336" t="s">
        <v>180</v>
      </c>
      <c r="B336" t="s">
        <v>264</v>
      </c>
      <c r="C336" t="s">
        <v>177</v>
      </c>
      <c r="D336" t="s">
        <v>27</v>
      </c>
      <c r="E336" t="s">
        <v>5</v>
      </c>
      <c r="F336">
        <v>0.36870000000000003</v>
      </c>
      <c r="G336" t="s">
        <v>239</v>
      </c>
    </row>
    <row r="337" spans="1:7" x14ac:dyDescent="0.3">
      <c r="A337" t="s">
        <v>180</v>
      </c>
      <c r="B337" t="s">
        <v>264</v>
      </c>
      <c r="C337" t="s">
        <v>178</v>
      </c>
      <c r="D337" t="s">
        <v>27</v>
      </c>
      <c r="E337" t="s">
        <v>5</v>
      </c>
      <c r="F337">
        <v>0.83609999999999995</v>
      </c>
      <c r="G337" t="s">
        <v>239</v>
      </c>
    </row>
    <row r="338" spans="1:7" x14ac:dyDescent="0.3">
      <c r="A338" t="s">
        <v>180</v>
      </c>
      <c r="B338" t="s">
        <v>264</v>
      </c>
      <c r="C338" t="s">
        <v>0</v>
      </c>
      <c r="D338" t="s">
        <v>27</v>
      </c>
      <c r="E338" t="s">
        <v>5</v>
      </c>
      <c r="F338">
        <v>1.2841</v>
      </c>
      <c r="G338" t="s">
        <v>239</v>
      </c>
    </row>
    <row r="339" spans="1:7" x14ac:dyDescent="0.3">
      <c r="A339" t="s">
        <v>180</v>
      </c>
      <c r="B339" t="s">
        <v>264</v>
      </c>
      <c r="C339" t="s">
        <v>1</v>
      </c>
      <c r="D339" t="s">
        <v>27</v>
      </c>
      <c r="E339" t="s">
        <v>5</v>
      </c>
      <c r="F339">
        <v>2.0623</v>
      </c>
      <c r="G339" t="s">
        <v>239</v>
      </c>
    </row>
    <row r="340" spans="1:7" x14ac:dyDescent="0.3">
      <c r="A340" s="71" t="s">
        <v>180</v>
      </c>
      <c r="B340" s="71" t="s">
        <v>264</v>
      </c>
      <c r="C340" s="71" t="s">
        <v>2</v>
      </c>
      <c r="D340" s="71" t="s">
        <v>27</v>
      </c>
      <c r="E340" s="71" t="s">
        <v>5</v>
      </c>
      <c r="F340" s="71">
        <v>4.621385083713851</v>
      </c>
      <c r="G340" s="71" t="s">
        <v>239</v>
      </c>
    </row>
    <row r="341" spans="1:7" x14ac:dyDescent="0.3">
      <c r="A341" s="71" t="s">
        <v>180</v>
      </c>
      <c r="B341" s="71" t="s">
        <v>264</v>
      </c>
      <c r="C341" s="71" t="s">
        <v>3</v>
      </c>
      <c r="D341" s="71" t="s">
        <v>27</v>
      </c>
      <c r="E341" s="71" t="s">
        <v>5</v>
      </c>
      <c r="F341" s="71">
        <v>5.6122526636225265</v>
      </c>
      <c r="G341" s="71" t="s">
        <v>239</v>
      </c>
    </row>
    <row r="342" spans="1:7" x14ac:dyDescent="0.3">
      <c r="A342" s="71" t="s">
        <v>180</v>
      </c>
      <c r="B342" s="71" t="s">
        <v>264</v>
      </c>
      <c r="C342" s="71" t="s">
        <v>4</v>
      </c>
      <c r="D342" s="71" t="s">
        <v>27</v>
      </c>
      <c r="E342" s="71" t="s">
        <v>5</v>
      </c>
      <c r="F342" s="71">
        <v>7.6174530695078637</v>
      </c>
      <c r="G342" s="71" t="s">
        <v>239</v>
      </c>
    </row>
    <row r="343" spans="1:7" x14ac:dyDescent="0.3">
      <c r="A343" s="71" t="s">
        <v>180</v>
      </c>
      <c r="B343" s="71" t="s">
        <v>264</v>
      </c>
      <c r="C343" s="71" t="s">
        <v>179</v>
      </c>
      <c r="D343" s="71" t="s">
        <v>27</v>
      </c>
      <c r="E343" s="71" t="s">
        <v>5</v>
      </c>
      <c r="F343" s="71">
        <v>8.8984969558599687</v>
      </c>
      <c r="G343" s="71" t="s">
        <v>239</v>
      </c>
    </row>
    <row r="344" spans="1:7" x14ac:dyDescent="0.3">
      <c r="A344" t="s">
        <v>180</v>
      </c>
      <c r="B344" t="s">
        <v>263</v>
      </c>
      <c r="C344" t="s">
        <v>176</v>
      </c>
      <c r="D344" t="s">
        <v>27</v>
      </c>
      <c r="E344" t="s">
        <v>5</v>
      </c>
      <c r="F344">
        <v>0</v>
      </c>
      <c r="G344" t="s">
        <v>239</v>
      </c>
    </row>
    <row r="345" spans="1:7" x14ac:dyDescent="0.3">
      <c r="A345" t="s">
        <v>180</v>
      </c>
      <c r="B345" t="s">
        <v>263</v>
      </c>
      <c r="C345" t="s">
        <v>177</v>
      </c>
      <c r="D345" t="s">
        <v>27</v>
      </c>
      <c r="E345" t="s">
        <v>5</v>
      </c>
      <c r="F345">
        <v>0</v>
      </c>
      <c r="G345" t="s">
        <v>239</v>
      </c>
    </row>
    <row r="346" spans="1:7" x14ac:dyDescent="0.3">
      <c r="A346" t="s">
        <v>180</v>
      </c>
      <c r="B346" t="s">
        <v>263</v>
      </c>
      <c r="C346" t="s">
        <v>178</v>
      </c>
      <c r="D346" t="s">
        <v>27</v>
      </c>
      <c r="E346" t="s">
        <v>5</v>
      </c>
      <c r="F346">
        <v>0</v>
      </c>
      <c r="G346" t="s">
        <v>239</v>
      </c>
    </row>
    <row r="347" spans="1:7" x14ac:dyDescent="0.3">
      <c r="A347" t="s">
        <v>180</v>
      </c>
      <c r="B347" t="s">
        <v>263</v>
      </c>
      <c r="C347" t="s">
        <v>0</v>
      </c>
      <c r="D347" t="s">
        <v>27</v>
      </c>
      <c r="E347" t="s">
        <v>5</v>
      </c>
      <c r="F347">
        <v>8.1903888111888108</v>
      </c>
      <c r="G347" t="s">
        <v>239</v>
      </c>
    </row>
    <row r="348" spans="1:7" x14ac:dyDescent="0.3">
      <c r="A348" t="s">
        <v>180</v>
      </c>
      <c r="B348" t="s">
        <v>263</v>
      </c>
      <c r="C348" t="s">
        <v>1</v>
      </c>
      <c r="D348" t="s">
        <v>27</v>
      </c>
      <c r="E348" t="s">
        <v>5</v>
      </c>
      <c r="F348">
        <v>11.09444405594405</v>
      </c>
      <c r="G348" t="s">
        <v>239</v>
      </c>
    </row>
    <row r="349" spans="1:7" x14ac:dyDescent="0.3">
      <c r="A349" t="s">
        <v>180</v>
      </c>
      <c r="B349" t="s">
        <v>263</v>
      </c>
      <c r="C349" t="s">
        <v>2</v>
      </c>
      <c r="D349" t="s">
        <v>27</v>
      </c>
      <c r="E349" t="s">
        <v>5</v>
      </c>
      <c r="F349">
        <v>13.70206853146853</v>
      </c>
      <c r="G349" t="s">
        <v>239</v>
      </c>
    </row>
    <row r="350" spans="1:7" x14ac:dyDescent="0.3">
      <c r="A350" t="s">
        <v>180</v>
      </c>
      <c r="B350" t="s">
        <v>263</v>
      </c>
      <c r="C350" t="s">
        <v>3</v>
      </c>
      <c r="D350" t="s">
        <v>27</v>
      </c>
      <c r="E350" t="s">
        <v>5</v>
      </c>
      <c r="F350">
        <v>20.744621671826621</v>
      </c>
      <c r="G350" t="s">
        <v>239</v>
      </c>
    </row>
    <row r="351" spans="1:7" x14ac:dyDescent="0.3">
      <c r="A351" t="s">
        <v>180</v>
      </c>
      <c r="B351" t="s">
        <v>263</v>
      </c>
      <c r="C351" t="s">
        <v>4</v>
      </c>
      <c r="D351" t="s">
        <v>27</v>
      </c>
      <c r="E351" t="s">
        <v>5</v>
      </c>
      <c r="F351">
        <v>25.47521691542288</v>
      </c>
      <c r="G351" t="s">
        <v>239</v>
      </c>
    </row>
    <row r="352" spans="1:7" x14ac:dyDescent="0.3">
      <c r="A352" t="s">
        <v>180</v>
      </c>
      <c r="B352" t="s">
        <v>263</v>
      </c>
      <c r="C352" t="s">
        <v>179</v>
      </c>
      <c r="D352" t="s">
        <v>27</v>
      </c>
      <c r="E352" t="s">
        <v>5</v>
      </c>
      <c r="F352">
        <v>23.986449101739879</v>
      </c>
      <c r="G352" t="s">
        <v>239</v>
      </c>
    </row>
    <row r="353" spans="1:7" x14ac:dyDescent="0.3">
      <c r="A353" t="s">
        <v>180</v>
      </c>
      <c r="B353" t="s">
        <v>262</v>
      </c>
      <c r="C353" t="s">
        <v>176</v>
      </c>
      <c r="D353" t="s">
        <v>27</v>
      </c>
      <c r="E353" t="s">
        <v>5</v>
      </c>
      <c r="F353">
        <v>0</v>
      </c>
      <c r="G353" t="s">
        <v>239</v>
      </c>
    </row>
    <row r="354" spans="1:7" x14ac:dyDescent="0.3">
      <c r="A354" t="s">
        <v>180</v>
      </c>
      <c r="B354" t="s">
        <v>262</v>
      </c>
      <c r="C354" t="s">
        <v>177</v>
      </c>
      <c r="D354" t="s">
        <v>27</v>
      </c>
      <c r="E354" t="s">
        <v>5</v>
      </c>
      <c r="F354">
        <v>0</v>
      </c>
      <c r="G354" t="s">
        <v>239</v>
      </c>
    </row>
    <row r="355" spans="1:7" x14ac:dyDescent="0.3">
      <c r="A355" t="s">
        <v>180</v>
      </c>
      <c r="B355" t="s">
        <v>262</v>
      </c>
      <c r="C355" t="s">
        <v>178</v>
      </c>
      <c r="D355" t="s">
        <v>27</v>
      </c>
      <c r="E355" t="s">
        <v>5</v>
      </c>
      <c r="F355">
        <v>0</v>
      </c>
      <c r="G355" t="s">
        <v>239</v>
      </c>
    </row>
    <row r="356" spans="1:7" x14ac:dyDescent="0.3">
      <c r="A356" t="s">
        <v>180</v>
      </c>
      <c r="B356" t="s">
        <v>262</v>
      </c>
      <c r="C356" t="s">
        <v>0</v>
      </c>
      <c r="D356" t="s">
        <v>27</v>
      </c>
      <c r="E356" t="s">
        <v>5</v>
      </c>
      <c r="F356">
        <v>5.0000000000000001E-4</v>
      </c>
      <c r="G356" t="s">
        <v>239</v>
      </c>
    </row>
    <row r="357" spans="1:7" x14ac:dyDescent="0.3">
      <c r="A357" t="s">
        <v>180</v>
      </c>
      <c r="B357" t="s">
        <v>262</v>
      </c>
      <c r="C357" t="s">
        <v>1</v>
      </c>
      <c r="D357" t="s">
        <v>27</v>
      </c>
      <c r="E357" t="s">
        <v>5</v>
      </c>
      <c r="F357">
        <v>4.4999999999999997E-3</v>
      </c>
      <c r="G357" t="s">
        <v>239</v>
      </c>
    </row>
    <row r="358" spans="1:7" x14ac:dyDescent="0.3">
      <c r="A358" t="s">
        <v>180</v>
      </c>
      <c r="B358" t="s">
        <v>262</v>
      </c>
      <c r="C358" t="s">
        <v>2</v>
      </c>
      <c r="D358" t="s">
        <v>27</v>
      </c>
      <c r="E358" t="s">
        <v>5</v>
      </c>
      <c r="F358">
        <v>0.1305</v>
      </c>
      <c r="G358" t="s">
        <v>239</v>
      </c>
    </row>
    <row r="359" spans="1:7" x14ac:dyDescent="0.3">
      <c r="A359" t="s">
        <v>180</v>
      </c>
      <c r="B359" t="s">
        <v>262</v>
      </c>
      <c r="C359" t="s">
        <v>3</v>
      </c>
      <c r="D359" t="s">
        <v>27</v>
      </c>
      <c r="E359" t="s">
        <v>5</v>
      </c>
      <c r="F359">
        <v>1.1475</v>
      </c>
      <c r="G359" t="s">
        <v>239</v>
      </c>
    </row>
    <row r="360" spans="1:7" x14ac:dyDescent="0.3">
      <c r="A360" s="71" t="s">
        <v>180</v>
      </c>
      <c r="B360" s="71" t="s">
        <v>262</v>
      </c>
      <c r="C360" s="71" t="s">
        <v>4</v>
      </c>
      <c r="D360" s="71" t="s">
        <v>27</v>
      </c>
      <c r="E360" s="71" t="s">
        <v>5</v>
      </c>
      <c r="F360" s="71">
        <v>3.7081430745814306</v>
      </c>
      <c r="G360" s="71" t="s">
        <v>239</v>
      </c>
    </row>
    <row r="361" spans="1:7" x14ac:dyDescent="0.3">
      <c r="A361" s="71" t="s">
        <v>180</v>
      </c>
      <c r="B361" s="71" t="s">
        <v>262</v>
      </c>
      <c r="C361" s="71" t="s">
        <v>179</v>
      </c>
      <c r="D361" s="71" t="s">
        <v>27</v>
      </c>
      <c r="E361" s="71" t="s">
        <v>5</v>
      </c>
      <c r="F361" s="71">
        <v>2.1140918315575852</v>
      </c>
      <c r="G361" s="71" t="s">
        <v>239</v>
      </c>
    </row>
    <row r="362" spans="1:7" x14ac:dyDescent="0.3">
      <c r="A362" t="s">
        <v>180</v>
      </c>
      <c r="B362" t="s">
        <v>261</v>
      </c>
      <c r="C362" t="s">
        <v>176</v>
      </c>
      <c r="D362" t="s">
        <v>27</v>
      </c>
      <c r="E362" t="s">
        <v>5</v>
      </c>
      <c r="F362">
        <v>0</v>
      </c>
      <c r="G362" t="s">
        <v>239</v>
      </c>
    </row>
    <row r="363" spans="1:7" x14ac:dyDescent="0.3">
      <c r="A363" t="s">
        <v>180</v>
      </c>
      <c r="B363" t="s">
        <v>261</v>
      </c>
      <c r="C363" t="s">
        <v>177</v>
      </c>
      <c r="D363" t="s">
        <v>27</v>
      </c>
      <c r="E363" t="s">
        <v>5</v>
      </c>
      <c r="F363">
        <v>0</v>
      </c>
      <c r="G363" t="s">
        <v>239</v>
      </c>
    </row>
    <row r="364" spans="1:7" x14ac:dyDescent="0.3">
      <c r="A364" t="s">
        <v>180</v>
      </c>
      <c r="B364" t="s">
        <v>261</v>
      </c>
      <c r="C364" t="s">
        <v>178</v>
      </c>
      <c r="D364" t="s">
        <v>27</v>
      </c>
      <c r="E364" t="s">
        <v>5</v>
      </c>
      <c r="F364">
        <v>0</v>
      </c>
      <c r="G364" t="s">
        <v>239</v>
      </c>
    </row>
    <row r="365" spans="1:7" x14ac:dyDescent="0.3">
      <c r="A365" t="s">
        <v>180</v>
      </c>
      <c r="B365" t="s">
        <v>261</v>
      </c>
      <c r="C365" t="s">
        <v>0</v>
      </c>
      <c r="D365" t="s">
        <v>27</v>
      </c>
      <c r="E365" t="s">
        <v>5</v>
      </c>
      <c r="F365">
        <v>0</v>
      </c>
      <c r="G365" t="s">
        <v>239</v>
      </c>
    </row>
    <row r="366" spans="1:7" x14ac:dyDescent="0.3">
      <c r="A366" t="s">
        <v>180</v>
      </c>
      <c r="B366" t="s">
        <v>261</v>
      </c>
      <c r="C366" t="s">
        <v>1</v>
      </c>
      <c r="D366" t="s">
        <v>27</v>
      </c>
      <c r="E366" t="s">
        <v>5</v>
      </c>
      <c r="F366">
        <v>0</v>
      </c>
      <c r="G366" t="s">
        <v>239</v>
      </c>
    </row>
    <row r="367" spans="1:7" x14ac:dyDescent="0.3">
      <c r="A367" t="s">
        <v>180</v>
      </c>
      <c r="B367" t="s">
        <v>261</v>
      </c>
      <c r="C367" t="s">
        <v>2</v>
      </c>
      <c r="D367" t="s">
        <v>27</v>
      </c>
      <c r="E367" t="s">
        <v>5</v>
      </c>
      <c r="F367">
        <v>0</v>
      </c>
      <c r="G367" t="s">
        <v>239</v>
      </c>
    </row>
    <row r="368" spans="1:7" x14ac:dyDescent="0.3">
      <c r="A368" t="s">
        <v>180</v>
      </c>
      <c r="B368" t="s">
        <v>261</v>
      </c>
      <c r="C368" t="s">
        <v>3</v>
      </c>
      <c r="D368" t="s">
        <v>27</v>
      </c>
      <c r="E368" t="s">
        <v>5</v>
      </c>
      <c r="F368">
        <v>0</v>
      </c>
      <c r="G368" t="s">
        <v>239</v>
      </c>
    </row>
    <row r="369" spans="1:7" x14ac:dyDescent="0.3">
      <c r="A369" t="s">
        <v>180</v>
      </c>
      <c r="B369" t="s">
        <v>261</v>
      </c>
      <c r="C369" t="s">
        <v>4</v>
      </c>
      <c r="D369" t="s">
        <v>27</v>
      </c>
      <c r="E369" t="s">
        <v>5</v>
      </c>
      <c r="F369">
        <v>0</v>
      </c>
      <c r="G369" t="s">
        <v>239</v>
      </c>
    </row>
    <row r="370" spans="1:7" x14ac:dyDescent="0.3">
      <c r="A370" t="s">
        <v>180</v>
      </c>
      <c r="B370" t="s">
        <v>261</v>
      </c>
      <c r="C370" t="s">
        <v>179</v>
      </c>
      <c r="D370" t="s">
        <v>27</v>
      </c>
      <c r="E370" t="s">
        <v>5</v>
      </c>
      <c r="F370">
        <v>0</v>
      </c>
      <c r="G370" t="s">
        <v>239</v>
      </c>
    </row>
    <row r="371" spans="1:7" x14ac:dyDescent="0.3">
      <c r="A371" t="s">
        <v>180</v>
      </c>
      <c r="B371" t="s">
        <v>260</v>
      </c>
      <c r="C371" t="s">
        <v>176</v>
      </c>
      <c r="D371" t="s">
        <v>27</v>
      </c>
      <c r="E371" t="s">
        <v>5</v>
      </c>
      <c r="F371">
        <v>0</v>
      </c>
      <c r="G371" t="s">
        <v>239</v>
      </c>
    </row>
    <row r="372" spans="1:7" x14ac:dyDescent="0.3">
      <c r="A372" t="s">
        <v>180</v>
      </c>
      <c r="B372" t="s">
        <v>260</v>
      </c>
      <c r="C372" t="s">
        <v>177</v>
      </c>
      <c r="D372" t="s">
        <v>27</v>
      </c>
      <c r="E372" t="s">
        <v>5</v>
      </c>
      <c r="F372">
        <v>0</v>
      </c>
      <c r="G372" t="s">
        <v>239</v>
      </c>
    </row>
    <row r="373" spans="1:7" x14ac:dyDescent="0.3">
      <c r="A373" t="s">
        <v>180</v>
      </c>
      <c r="B373" t="s">
        <v>260</v>
      </c>
      <c r="C373" t="s">
        <v>178</v>
      </c>
      <c r="D373" t="s">
        <v>27</v>
      </c>
      <c r="E373" t="s">
        <v>5</v>
      </c>
      <c r="F373">
        <v>0</v>
      </c>
      <c r="G373" t="s">
        <v>239</v>
      </c>
    </row>
    <row r="374" spans="1:7" x14ac:dyDescent="0.3">
      <c r="A374" t="s">
        <v>180</v>
      </c>
      <c r="B374" t="s">
        <v>260</v>
      </c>
      <c r="C374" t="s">
        <v>0</v>
      </c>
      <c r="D374" t="s">
        <v>27</v>
      </c>
      <c r="E374" t="s">
        <v>5</v>
      </c>
      <c r="F374">
        <v>0</v>
      </c>
      <c r="G374" t="s">
        <v>239</v>
      </c>
    </row>
    <row r="375" spans="1:7" x14ac:dyDescent="0.3">
      <c r="A375" t="s">
        <v>180</v>
      </c>
      <c r="B375" t="s">
        <v>260</v>
      </c>
      <c r="C375" t="s">
        <v>1</v>
      </c>
      <c r="D375" t="s">
        <v>27</v>
      </c>
      <c r="E375" t="s">
        <v>5</v>
      </c>
      <c r="F375">
        <v>0</v>
      </c>
      <c r="G375" t="s">
        <v>239</v>
      </c>
    </row>
    <row r="376" spans="1:7" x14ac:dyDescent="0.3">
      <c r="A376" t="s">
        <v>180</v>
      </c>
      <c r="B376" t="s">
        <v>260</v>
      </c>
      <c r="C376" t="s">
        <v>2</v>
      </c>
      <c r="D376" t="s">
        <v>27</v>
      </c>
      <c r="E376" t="s">
        <v>5</v>
      </c>
      <c r="F376">
        <v>0</v>
      </c>
      <c r="G376" t="s">
        <v>239</v>
      </c>
    </row>
    <row r="377" spans="1:7" x14ac:dyDescent="0.3">
      <c r="A377" t="s">
        <v>180</v>
      </c>
      <c r="B377" t="s">
        <v>260</v>
      </c>
      <c r="C377" t="s">
        <v>3</v>
      </c>
      <c r="D377" t="s">
        <v>27</v>
      </c>
      <c r="E377" t="s">
        <v>5</v>
      </c>
      <c r="F377">
        <v>0</v>
      </c>
      <c r="G377" t="s">
        <v>239</v>
      </c>
    </row>
    <row r="378" spans="1:7" x14ac:dyDescent="0.3">
      <c r="A378" t="s">
        <v>180</v>
      </c>
      <c r="B378" t="s">
        <v>260</v>
      </c>
      <c r="C378" t="s">
        <v>4</v>
      </c>
      <c r="D378" t="s">
        <v>27</v>
      </c>
      <c r="E378" t="s">
        <v>5</v>
      </c>
      <c r="F378">
        <v>0</v>
      </c>
      <c r="G378" t="s">
        <v>239</v>
      </c>
    </row>
    <row r="379" spans="1:7" x14ac:dyDescent="0.3">
      <c r="A379" t="s">
        <v>180</v>
      </c>
      <c r="B379" t="s">
        <v>260</v>
      </c>
      <c r="C379" t="s">
        <v>179</v>
      </c>
      <c r="D379" t="s">
        <v>27</v>
      </c>
      <c r="E379" t="s">
        <v>5</v>
      </c>
      <c r="F379">
        <v>0</v>
      </c>
      <c r="G379" t="s">
        <v>239</v>
      </c>
    </row>
    <row r="380" spans="1:7" x14ac:dyDescent="0.3">
      <c r="A380" t="s">
        <v>180</v>
      </c>
      <c r="B380" t="s">
        <v>259</v>
      </c>
      <c r="C380" t="s">
        <v>176</v>
      </c>
      <c r="D380" t="s">
        <v>27</v>
      </c>
      <c r="E380" t="s">
        <v>5</v>
      </c>
      <c r="F380">
        <v>0</v>
      </c>
      <c r="G380" t="s">
        <v>239</v>
      </c>
    </row>
    <row r="381" spans="1:7" x14ac:dyDescent="0.3">
      <c r="A381" t="s">
        <v>180</v>
      </c>
      <c r="B381" t="s">
        <v>259</v>
      </c>
      <c r="C381" t="s">
        <v>177</v>
      </c>
      <c r="D381" t="s">
        <v>27</v>
      </c>
      <c r="E381" t="s">
        <v>5</v>
      </c>
      <c r="F381">
        <v>0</v>
      </c>
      <c r="G381" t="s">
        <v>239</v>
      </c>
    </row>
    <row r="382" spans="1:7" x14ac:dyDescent="0.3">
      <c r="A382" t="s">
        <v>180</v>
      </c>
      <c r="B382" t="s">
        <v>259</v>
      </c>
      <c r="C382" t="s">
        <v>178</v>
      </c>
      <c r="D382" t="s">
        <v>27</v>
      </c>
      <c r="E382" t="s">
        <v>5</v>
      </c>
      <c r="F382">
        <v>0</v>
      </c>
      <c r="G382" t="s">
        <v>239</v>
      </c>
    </row>
    <row r="383" spans="1:7" x14ac:dyDescent="0.3">
      <c r="A383" t="s">
        <v>180</v>
      </c>
      <c r="B383" t="s">
        <v>259</v>
      </c>
      <c r="C383" t="s">
        <v>0</v>
      </c>
      <c r="D383" t="s">
        <v>27</v>
      </c>
      <c r="E383" t="s">
        <v>5</v>
      </c>
      <c r="F383">
        <v>0</v>
      </c>
      <c r="G383" t="s">
        <v>239</v>
      </c>
    </row>
    <row r="384" spans="1:7" x14ac:dyDescent="0.3">
      <c r="A384" t="s">
        <v>180</v>
      </c>
      <c r="B384" t="s">
        <v>259</v>
      </c>
      <c r="C384" t="s">
        <v>1</v>
      </c>
      <c r="D384" t="s">
        <v>27</v>
      </c>
      <c r="E384" t="s">
        <v>5</v>
      </c>
      <c r="F384">
        <v>0</v>
      </c>
      <c r="G384" t="s">
        <v>239</v>
      </c>
    </row>
    <row r="385" spans="1:7" x14ac:dyDescent="0.3">
      <c r="A385" t="s">
        <v>180</v>
      </c>
      <c r="B385" t="s">
        <v>259</v>
      </c>
      <c r="C385" t="s">
        <v>2</v>
      </c>
      <c r="D385" t="s">
        <v>27</v>
      </c>
      <c r="E385" t="s">
        <v>5</v>
      </c>
      <c r="F385">
        <v>0</v>
      </c>
      <c r="G385" t="s">
        <v>239</v>
      </c>
    </row>
    <row r="386" spans="1:7" x14ac:dyDescent="0.3">
      <c r="A386" t="s">
        <v>180</v>
      </c>
      <c r="B386" t="s">
        <v>259</v>
      </c>
      <c r="C386" t="s">
        <v>3</v>
      </c>
      <c r="D386" t="s">
        <v>27</v>
      </c>
      <c r="E386" t="s">
        <v>5</v>
      </c>
      <c r="F386">
        <v>0</v>
      </c>
      <c r="G386" t="s">
        <v>239</v>
      </c>
    </row>
    <row r="387" spans="1:7" x14ac:dyDescent="0.3">
      <c r="A387" t="s">
        <v>180</v>
      </c>
      <c r="B387" t="s">
        <v>259</v>
      </c>
      <c r="C387" t="s">
        <v>4</v>
      </c>
      <c r="D387" t="s">
        <v>27</v>
      </c>
      <c r="E387" t="s">
        <v>5</v>
      </c>
      <c r="F387">
        <v>0</v>
      </c>
      <c r="G387" t="s">
        <v>239</v>
      </c>
    </row>
    <row r="388" spans="1:7" x14ac:dyDescent="0.3">
      <c r="A388" t="s">
        <v>180</v>
      </c>
      <c r="B388" t="s">
        <v>259</v>
      </c>
      <c r="C388" t="s">
        <v>179</v>
      </c>
      <c r="D388" t="s">
        <v>27</v>
      </c>
      <c r="E388" t="s">
        <v>5</v>
      </c>
      <c r="F388">
        <v>0</v>
      </c>
      <c r="G388" t="s">
        <v>239</v>
      </c>
    </row>
    <row r="389" spans="1:7" x14ac:dyDescent="0.3">
      <c r="A389" t="s">
        <v>180</v>
      </c>
      <c r="B389" t="s">
        <v>258</v>
      </c>
      <c r="C389" t="s">
        <v>176</v>
      </c>
      <c r="D389" t="s">
        <v>27</v>
      </c>
      <c r="E389" t="s">
        <v>5</v>
      </c>
      <c r="F389">
        <v>0</v>
      </c>
      <c r="G389" t="s">
        <v>239</v>
      </c>
    </row>
    <row r="390" spans="1:7" x14ac:dyDescent="0.3">
      <c r="A390" t="s">
        <v>180</v>
      </c>
      <c r="B390" t="s">
        <v>258</v>
      </c>
      <c r="C390" t="s">
        <v>177</v>
      </c>
      <c r="D390" t="s">
        <v>27</v>
      </c>
      <c r="E390" t="s">
        <v>5</v>
      </c>
      <c r="F390">
        <v>0</v>
      </c>
      <c r="G390" t="s">
        <v>239</v>
      </c>
    </row>
    <row r="391" spans="1:7" x14ac:dyDescent="0.3">
      <c r="A391" t="s">
        <v>180</v>
      </c>
      <c r="B391" t="s">
        <v>258</v>
      </c>
      <c r="C391" t="s">
        <v>178</v>
      </c>
      <c r="D391" t="s">
        <v>27</v>
      </c>
      <c r="E391" t="s">
        <v>5</v>
      </c>
      <c r="F391">
        <v>0</v>
      </c>
      <c r="G391" t="s">
        <v>239</v>
      </c>
    </row>
    <row r="392" spans="1:7" x14ac:dyDescent="0.3">
      <c r="A392" t="s">
        <v>180</v>
      </c>
      <c r="B392" t="s">
        <v>258</v>
      </c>
      <c r="C392" t="s">
        <v>0</v>
      </c>
      <c r="D392" t="s">
        <v>27</v>
      </c>
      <c r="E392" t="s">
        <v>5</v>
      </c>
      <c r="F392">
        <v>0</v>
      </c>
      <c r="G392" t="s">
        <v>239</v>
      </c>
    </row>
    <row r="393" spans="1:7" x14ac:dyDescent="0.3">
      <c r="A393" t="s">
        <v>180</v>
      </c>
      <c r="B393" t="s">
        <v>258</v>
      </c>
      <c r="C393" t="s">
        <v>1</v>
      </c>
      <c r="D393" t="s">
        <v>27</v>
      </c>
      <c r="E393" t="s">
        <v>5</v>
      </c>
      <c r="F393">
        <v>0</v>
      </c>
      <c r="G393" t="s">
        <v>239</v>
      </c>
    </row>
    <row r="394" spans="1:7" x14ac:dyDescent="0.3">
      <c r="A394" t="s">
        <v>180</v>
      </c>
      <c r="B394" t="s">
        <v>258</v>
      </c>
      <c r="C394" t="s">
        <v>2</v>
      </c>
      <c r="D394" t="s">
        <v>27</v>
      </c>
      <c r="E394" t="s">
        <v>5</v>
      </c>
      <c r="F394">
        <v>0</v>
      </c>
      <c r="G394" t="s">
        <v>239</v>
      </c>
    </row>
    <row r="395" spans="1:7" x14ac:dyDescent="0.3">
      <c r="A395" t="s">
        <v>180</v>
      </c>
      <c r="B395" t="s">
        <v>258</v>
      </c>
      <c r="C395" t="s">
        <v>3</v>
      </c>
      <c r="D395" t="s">
        <v>27</v>
      </c>
      <c r="E395" t="s">
        <v>5</v>
      </c>
      <c r="F395">
        <v>0</v>
      </c>
      <c r="G395" t="s">
        <v>239</v>
      </c>
    </row>
    <row r="396" spans="1:7" x14ac:dyDescent="0.3">
      <c r="A396" t="s">
        <v>180</v>
      </c>
      <c r="B396" t="s">
        <v>258</v>
      </c>
      <c r="C396" t="s">
        <v>4</v>
      </c>
      <c r="D396" t="s">
        <v>27</v>
      </c>
      <c r="E396" t="s">
        <v>5</v>
      </c>
      <c r="F396">
        <v>0</v>
      </c>
      <c r="G396" t="s">
        <v>239</v>
      </c>
    </row>
    <row r="397" spans="1:7" x14ac:dyDescent="0.3">
      <c r="A397" t="s">
        <v>180</v>
      </c>
      <c r="B397" t="s">
        <v>258</v>
      </c>
      <c r="C397" t="s">
        <v>179</v>
      </c>
      <c r="D397" t="s">
        <v>27</v>
      </c>
      <c r="E397" t="s">
        <v>5</v>
      </c>
      <c r="F397">
        <v>0</v>
      </c>
      <c r="G397" t="s">
        <v>239</v>
      </c>
    </row>
    <row r="398" spans="1:7" x14ac:dyDescent="0.3">
      <c r="A398" t="s">
        <v>180</v>
      </c>
      <c r="B398" t="s">
        <v>46</v>
      </c>
      <c r="C398" t="s">
        <v>176</v>
      </c>
      <c r="D398" t="s">
        <v>27</v>
      </c>
      <c r="E398" t="s">
        <v>5</v>
      </c>
      <c r="F398">
        <v>0</v>
      </c>
      <c r="G398" t="s">
        <v>239</v>
      </c>
    </row>
    <row r="399" spans="1:7" x14ac:dyDescent="0.3">
      <c r="A399" t="s">
        <v>180</v>
      </c>
      <c r="B399" t="s">
        <v>46</v>
      </c>
      <c r="C399" t="s">
        <v>177</v>
      </c>
      <c r="D399" t="s">
        <v>27</v>
      </c>
      <c r="E399" t="s">
        <v>5</v>
      </c>
      <c r="F399">
        <v>0</v>
      </c>
      <c r="G399" t="s">
        <v>239</v>
      </c>
    </row>
    <row r="400" spans="1:7" x14ac:dyDescent="0.3">
      <c r="A400" t="s">
        <v>180</v>
      </c>
      <c r="B400" t="s">
        <v>46</v>
      </c>
      <c r="C400" t="s">
        <v>178</v>
      </c>
      <c r="D400" t="s">
        <v>27</v>
      </c>
      <c r="E400" t="s">
        <v>5</v>
      </c>
      <c r="F400">
        <v>0</v>
      </c>
      <c r="G400" t="s">
        <v>239</v>
      </c>
    </row>
    <row r="401" spans="1:7" x14ac:dyDescent="0.3">
      <c r="A401" t="s">
        <v>180</v>
      </c>
      <c r="B401" t="s">
        <v>46</v>
      </c>
      <c r="C401" t="s">
        <v>0</v>
      </c>
      <c r="D401" t="s">
        <v>27</v>
      </c>
      <c r="E401" t="s">
        <v>5</v>
      </c>
      <c r="F401">
        <v>0</v>
      </c>
      <c r="G401" t="s">
        <v>239</v>
      </c>
    </row>
    <row r="402" spans="1:7" x14ac:dyDescent="0.3">
      <c r="A402" t="s">
        <v>180</v>
      </c>
      <c r="B402" t="s">
        <v>46</v>
      </c>
      <c r="C402" t="s">
        <v>1</v>
      </c>
      <c r="D402" t="s">
        <v>27</v>
      </c>
      <c r="E402" t="s">
        <v>5</v>
      </c>
      <c r="F402">
        <v>0</v>
      </c>
      <c r="G402" t="s">
        <v>239</v>
      </c>
    </row>
    <row r="403" spans="1:7" x14ac:dyDescent="0.3">
      <c r="A403" t="s">
        <v>180</v>
      </c>
      <c r="B403" t="s">
        <v>46</v>
      </c>
      <c r="C403" t="s">
        <v>2</v>
      </c>
      <c r="D403" t="s">
        <v>27</v>
      </c>
      <c r="E403" t="s">
        <v>5</v>
      </c>
      <c r="F403">
        <v>0</v>
      </c>
      <c r="G403" t="s">
        <v>239</v>
      </c>
    </row>
    <row r="404" spans="1:7" x14ac:dyDescent="0.3">
      <c r="A404" t="s">
        <v>180</v>
      </c>
      <c r="B404" t="s">
        <v>46</v>
      </c>
      <c r="C404" t="s">
        <v>3</v>
      </c>
      <c r="D404" t="s">
        <v>27</v>
      </c>
      <c r="E404" t="s">
        <v>5</v>
      </c>
      <c r="F404">
        <v>0</v>
      </c>
      <c r="G404" t="s">
        <v>239</v>
      </c>
    </row>
    <row r="405" spans="1:7" x14ac:dyDescent="0.3">
      <c r="A405" t="s">
        <v>180</v>
      </c>
      <c r="B405" t="s">
        <v>46</v>
      </c>
      <c r="C405" t="s">
        <v>4</v>
      </c>
      <c r="D405" t="s">
        <v>27</v>
      </c>
      <c r="E405" t="s">
        <v>5</v>
      </c>
      <c r="F405">
        <v>0</v>
      </c>
      <c r="G405" t="s">
        <v>239</v>
      </c>
    </row>
    <row r="406" spans="1:7" x14ac:dyDescent="0.3">
      <c r="A406" t="s">
        <v>180</v>
      </c>
      <c r="B406" t="s">
        <v>46</v>
      </c>
      <c r="C406" t="s">
        <v>179</v>
      </c>
      <c r="D406" t="s">
        <v>27</v>
      </c>
      <c r="E406" t="s">
        <v>5</v>
      </c>
      <c r="F406">
        <v>0</v>
      </c>
      <c r="G406" t="s">
        <v>239</v>
      </c>
    </row>
    <row r="407" spans="1:7" x14ac:dyDescent="0.3">
      <c r="A407" t="s">
        <v>180</v>
      </c>
      <c r="B407" t="s">
        <v>165</v>
      </c>
      <c r="C407" t="s">
        <v>176</v>
      </c>
      <c r="D407" t="s">
        <v>27</v>
      </c>
      <c r="E407" t="s">
        <v>5</v>
      </c>
      <c r="F407">
        <v>0.48055921758592152</v>
      </c>
      <c r="G407" t="s">
        <v>239</v>
      </c>
    </row>
    <row r="408" spans="1:7" x14ac:dyDescent="0.3">
      <c r="A408" t="s">
        <v>180</v>
      </c>
      <c r="B408" t="s">
        <v>165</v>
      </c>
      <c r="C408" t="s">
        <v>177</v>
      </c>
      <c r="D408" t="s">
        <v>27</v>
      </c>
      <c r="E408" t="s">
        <v>5</v>
      </c>
      <c r="F408">
        <v>0.97429972950305699</v>
      </c>
      <c r="G408" t="s">
        <v>239</v>
      </c>
    </row>
    <row r="409" spans="1:7" x14ac:dyDescent="0.3">
      <c r="A409" t="s">
        <v>180</v>
      </c>
      <c r="B409" t="s">
        <v>165</v>
      </c>
      <c r="C409" t="s">
        <v>178</v>
      </c>
      <c r="D409" t="s">
        <v>27</v>
      </c>
      <c r="E409" t="s">
        <v>5</v>
      </c>
      <c r="F409">
        <v>1.3696717562239991</v>
      </c>
      <c r="G409" t="s">
        <v>239</v>
      </c>
    </row>
    <row r="410" spans="1:7" x14ac:dyDescent="0.3">
      <c r="A410" t="s">
        <v>180</v>
      </c>
      <c r="B410" t="s">
        <v>165</v>
      </c>
      <c r="C410" t="s">
        <v>0</v>
      </c>
      <c r="D410" t="s">
        <v>27</v>
      </c>
      <c r="E410" t="s">
        <v>5</v>
      </c>
      <c r="F410">
        <v>1.904240686602803</v>
      </c>
      <c r="G410" t="s">
        <v>239</v>
      </c>
    </row>
    <row r="411" spans="1:7" x14ac:dyDescent="0.3">
      <c r="A411" t="s">
        <v>180</v>
      </c>
      <c r="B411" t="s">
        <v>165</v>
      </c>
      <c r="C411" t="s">
        <v>1</v>
      </c>
      <c r="D411" t="s">
        <v>27</v>
      </c>
      <c r="E411" t="s">
        <v>5</v>
      </c>
      <c r="F411">
        <v>2.5980789714159331</v>
      </c>
      <c r="G411" t="s">
        <v>239</v>
      </c>
    </row>
    <row r="412" spans="1:7" x14ac:dyDescent="0.3">
      <c r="A412" t="s">
        <v>180</v>
      </c>
      <c r="B412" t="s">
        <v>165</v>
      </c>
      <c r="C412" t="s">
        <v>2</v>
      </c>
      <c r="D412" t="s">
        <v>27</v>
      </c>
      <c r="E412" t="s">
        <v>5</v>
      </c>
      <c r="F412">
        <v>1.9174588075130139</v>
      </c>
      <c r="G412" t="s">
        <v>239</v>
      </c>
    </row>
    <row r="413" spans="1:7" x14ac:dyDescent="0.3">
      <c r="A413" t="s">
        <v>180</v>
      </c>
      <c r="B413" t="s">
        <v>165</v>
      </c>
      <c r="C413" t="s">
        <v>3</v>
      </c>
      <c r="D413" t="s">
        <v>27</v>
      </c>
      <c r="E413" t="s">
        <v>5</v>
      </c>
      <c r="F413">
        <v>3.4407974296316461</v>
      </c>
      <c r="G413" t="s">
        <v>239</v>
      </c>
    </row>
    <row r="414" spans="1:7" x14ac:dyDescent="0.3">
      <c r="A414" t="s">
        <v>180</v>
      </c>
      <c r="B414" t="s">
        <v>165</v>
      </c>
      <c r="C414" t="s">
        <v>4</v>
      </c>
      <c r="D414" t="s">
        <v>27</v>
      </c>
      <c r="E414" t="s">
        <v>5</v>
      </c>
      <c r="F414">
        <v>3.5278545293110688</v>
      </c>
      <c r="G414" t="s">
        <v>239</v>
      </c>
    </row>
    <row r="415" spans="1:7" x14ac:dyDescent="0.3">
      <c r="A415" s="71" t="s">
        <v>180</v>
      </c>
      <c r="B415" s="71" t="s">
        <v>165</v>
      </c>
      <c r="C415" s="71" t="s">
        <v>179</v>
      </c>
      <c r="D415" s="71" t="s">
        <v>27</v>
      </c>
      <c r="E415" s="71" t="s">
        <v>5</v>
      </c>
      <c r="F415" s="71">
        <v>4</v>
      </c>
      <c r="G415" s="71" t="s">
        <v>239</v>
      </c>
    </row>
    <row r="416" spans="1:7" x14ac:dyDescent="0.3">
      <c r="A416" t="s">
        <v>180</v>
      </c>
      <c r="B416" t="s">
        <v>151</v>
      </c>
      <c r="C416" t="s">
        <v>176</v>
      </c>
      <c r="D416" t="s">
        <v>27</v>
      </c>
      <c r="E416" t="s">
        <v>5</v>
      </c>
      <c r="F416">
        <v>0</v>
      </c>
      <c r="G416" t="s">
        <v>239</v>
      </c>
    </row>
    <row r="417" spans="1:7" x14ac:dyDescent="0.3">
      <c r="A417" t="s">
        <v>180</v>
      </c>
      <c r="B417" t="s">
        <v>151</v>
      </c>
      <c r="C417" t="s">
        <v>177</v>
      </c>
      <c r="D417" t="s">
        <v>27</v>
      </c>
      <c r="E417" t="s">
        <v>5</v>
      </c>
      <c r="F417">
        <v>0</v>
      </c>
      <c r="G417" t="s">
        <v>239</v>
      </c>
    </row>
    <row r="418" spans="1:7" x14ac:dyDescent="0.3">
      <c r="A418" t="s">
        <v>180</v>
      </c>
      <c r="B418" t="s">
        <v>151</v>
      </c>
      <c r="C418" t="s">
        <v>178</v>
      </c>
      <c r="D418" t="s">
        <v>27</v>
      </c>
      <c r="E418" t="s">
        <v>5</v>
      </c>
      <c r="F418">
        <v>0</v>
      </c>
      <c r="G418" t="s">
        <v>239</v>
      </c>
    </row>
    <row r="419" spans="1:7" x14ac:dyDescent="0.3">
      <c r="A419" t="s">
        <v>180</v>
      </c>
      <c r="B419" t="s">
        <v>151</v>
      </c>
      <c r="C419" t="s">
        <v>0</v>
      </c>
      <c r="D419" t="s">
        <v>27</v>
      </c>
      <c r="E419" t="s">
        <v>5</v>
      </c>
      <c r="F419">
        <v>0</v>
      </c>
      <c r="G419" t="s">
        <v>239</v>
      </c>
    </row>
    <row r="420" spans="1:7" x14ac:dyDescent="0.3">
      <c r="A420" t="s">
        <v>180</v>
      </c>
      <c r="B420" t="s">
        <v>151</v>
      </c>
      <c r="C420" t="s">
        <v>1</v>
      </c>
      <c r="D420" t="s">
        <v>27</v>
      </c>
      <c r="E420" t="s">
        <v>5</v>
      </c>
      <c r="F420">
        <v>0</v>
      </c>
      <c r="G420" t="s">
        <v>239</v>
      </c>
    </row>
    <row r="421" spans="1:7" x14ac:dyDescent="0.3">
      <c r="A421" t="s">
        <v>180</v>
      </c>
      <c r="B421" t="s">
        <v>151</v>
      </c>
      <c r="C421" t="s">
        <v>2</v>
      </c>
      <c r="D421" t="s">
        <v>27</v>
      </c>
      <c r="E421" t="s">
        <v>5</v>
      </c>
      <c r="F421">
        <v>0</v>
      </c>
      <c r="G421" t="s">
        <v>239</v>
      </c>
    </row>
    <row r="422" spans="1:7" x14ac:dyDescent="0.3">
      <c r="A422" t="s">
        <v>180</v>
      </c>
      <c r="B422" t="s">
        <v>151</v>
      </c>
      <c r="C422" t="s">
        <v>3</v>
      </c>
      <c r="D422" t="s">
        <v>27</v>
      </c>
      <c r="E422" t="s">
        <v>5</v>
      </c>
      <c r="F422">
        <v>0</v>
      </c>
      <c r="G422" t="s">
        <v>239</v>
      </c>
    </row>
    <row r="423" spans="1:7" x14ac:dyDescent="0.3">
      <c r="A423" t="s">
        <v>180</v>
      </c>
      <c r="B423" t="s">
        <v>151</v>
      </c>
      <c r="C423" t="s">
        <v>4</v>
      </c>
      <c r="D423" t="s">
        <v>27</v>
      </c>
      <c r="E423" t="s">
        <v>5</v>
      </c>
      <c r="F423">
        <v>0</v>
      </c>
      <c r="G423" t="s">
        <v>239</v>
      </c>
    </row>
    <row r="424" spans="1:7" x14ac:dyDescent="0.3">
      <c r="A424" t="s">
        <v>180</v>
      </c>
      <c r="B424" t="s">
        <v>151</v>
      </c>
      <c r="C424" t="s">
        <v>179</v>
      </c>
      <c r="D424" t="s">
        <v>27</v>
      </c>
      <c r="E424" t="s">
        <v>5</v>
      </c>
      <c r="F424">
        <v>0</v>
      </c>
      <c r="G424" t="s">
        <v>239</v>
      </c>
    </row>
    <row r="425" spans="1:7" x14ac:dyDescent="0.3">
      <c r="A425" t="s">
        <v>180</v>
      </c>
      <c r="B425" t="s">
        <v>257</v>
      </c>
      <c r="C425" t="s">
        <v>176</v>
      </c>
      <c r="D425" t="s">
        <v>27</v>
      </c>
      <c r="E425" t="s">
        <v>5</v>
      </c>
      <c r="F425">
        <v>0</v>
      </c>
      <c r="G425" t="s">
        <v>239</v>
      </c>
    </row>
    <row r="426" spans="1:7" x14ac:dyDescent="0.3">
      <c r="A426" t="s">
        <v>180</v>
      </c>
      <c r="B426" t="s">
        <v>257</v>
      </c>
      <c r="C426" t="s">
        <v>177</v>
      </c>
      <c r="D426" t="s">
        <v>27</v>
      </c>
      <c r="E426" t="s">
        <v>5</v>
      </c>
      <c r="F426">
        <v>0</v>
      </c>
      <c r="G426" t="s">
        <v>239</v>
      </c>
    </row>
    <row r="427" spans="1:7" x14ac:dyDescent="0.3">
      <c r="A427" t="s">
        <v>180</v>
      </c>
      <c r="B427" t="s">
        <v>257</v>
      </c>
      <c r="C427" t="s">
        <v>178</v>
      </c>
      <c r="D427" t="s">
        <v>27</v>
      </c>
      <c r="E427" t="s">
        <v>5</v>
      </c>
      <c r="F427">
        <v>0</v>
      </c>
      <c r="G427" t="s">
        <v>239</v>
      </c>
    </row>
    <row r="428" spans="1:7" x14ac:dyDescent="0.3">
      <c r="A428" t="s">
        <v>180</v>
      </c>
      <c r="B428" t="s">
        <v>257</v>
      </c>
      <c r="C428" t="s">
        <v>0</v>
      </c>
      <c r="D428" t="s">
        <v>27</v>
      </c>
      <c r="E428" t="s">
        <v>5</v>
      </c>
      <c r="F428">
        <v>0</v>
      </c>
      <c r="G428" t="s">
        <v>239</v>
      </c>
    </row>
    <row r="429" spans="1:7" x14ac:dyDescent="0.3">
      <c r="A429" t="s">
        <v>180</v>
      </c>
      <c r="B429" t="s">
        <v>257</v>
      </c>
      <c r="C429" t="s">
        <v>1</v>
      </c>
      <c r="D429" t="s">
        <v>27</v>
      </c>
      <c r="E429" t="s">
        <v>5</v>
      </c>
      <c r="F429">
        <v>0</v>
      </c>
      <c r="G429" t="s">
        <v>239</v>
      </c>
    </row>
    <row r="430" spans="1:7" x14ac:dyDescent="0.3">
      <c r="A430" t="s">
        <v>180</v>
      </c>
      <c r="B430" t="s">
        <v>257</v>
      </c>
      <c r="C430" t="s">
        <v>2</v>
      </c>
      <c r="D430" t="s">
        <v>27</v>
      </c>
      <c r="E430" t="s">
        <v>5</v>
      </c>
      <c r="F430">
        <v>0</v>
      </c>
      <c r="G430" t="s">
        <v>239</v>
      </c>
    </row>
    <row r="431" spans="1:7" x14ac:dyDescent="0.3">
      <c r="A431" t="s">
        <v>180</v>
      </c>
      <c r="B431" t="s">
        <v>257</v>
      </c>
      <c r="C431" t="s">
        <v>3</v>
      </c>
      <c r="D431" t="s">
        <v>27</v>
      </c>
      <c r="E431" t="s">
        <v>5</v>
      </c>
      <c r="F431">
        <v>0</v>
      </c>
      <c r="G431" t="s">
        <v>239</v>
      </c>
    </row>
    <row r="432" spans="1:7" x14ac:dyDescent="0.3">
      <c r="A432" t="s">
        <v>180</v>
      </c>
      <c r="B432" t="s">
        <v>257</v>
      </c>
      <c r="C432" t="s">
        <v>4</v>
      </c>
      <c r="D432" t="s">
        <v>27</v>
      </c>
      <c r="E432" t="s">
        <v>5</v>
      </c>
      <c r="F432">
        <v>0</v>
      </c>
      <c r="G432" t="s">
        <v>239</v>
      </c>
    </row>
    <row r="433" spans="1:7" x14ac:dyDescent="0.3">
      <c r="A433" t="s">
        <v>180</v>
      </c>
      <c r="B433" t="s">
        <v>257</v>
      </c>
      <c r="C433" t="s">
        <v>179</v>
      </c>
      <c r="D433" t="s">
        <v>27</v>
      </c>
      <c r="E433" t="s">
        <v>5</v>
      </c>
      <c r="F433">
        <v>0</v>
      </c>
      <c r="G433" t="s">
        <v>239</v>
      </c>
    </row>
    <row r="434" spans="1:7" x14ac:dyDescent="0.3">
      <c r="A434" t="s">
        <v>180</v>
      </c>
      <c r="B434" t="s">
        <v>23</v>
      </c>
      <c r="C434" t="s">
        <v>176</v>
      </c>
      <c r="D434" t="s">
        <v>27</v>
      </c>
      <c r="E434" t="s">
        <v>5</v>
      </c>
      <c r="F434">
        <v>0.17599999999999999</v>
      </c>
      <c r="G434" t="s">
        <v>239</v>
      </c>
    </row>
    <row r="435" spans="1:7" x14ac:dyDescent="0.3">
      <c r="A435" t="s">
        <v>180</v>
      </c>
      <c r="B435" t="s">
        <v>23</v>
      </c>
      <c r="C435" t="s">
        <v>177</v>
      </c>
      <c r="D435" t="s">
        <v>27</v>
      </c>
      <c r="E435" t="s">
        <v>5</v>
      </c>
      <c r="F435">
        <v>0.31269999999999998</v>
      </c>
      <c r="G435" t="s">
        <v>239</v>
      </c>
    </row>
    <row r="436" spans="1:7" x14ac:dyDescent="0.3">
      <c r="A436" t="s">
        <v>180</v>
      </c>
      <c r="B436" t="s">
        <v>23</v>
      </c>
      <c r="C436" t="s">
        <v>178</v>
      </c>
      <c r="D436" t="s">
        <v>27</v>
      </c>
      <c r="E436" t="s">
        <v>5</v>
      </c>
      <c r="F436">
        <v>0.20619999999999999</v>
      </c>
      <c r="G436" t="s">
        <v>239</v>
      </c>
    </row>
    <row r="437" spans="1:7" x14ac:dyDescent="0.3">
      <c r="A437" t="s">
        <v>180</v>
      </c>
      <c r="B437" t="s">
        <v>23</v>
      </c>
      <c r="C437" t="s">
        <v>0</v>
      </c>
      <c r="D437" t="s">
        <v>27</v>
      </c>
      <c r="E437" t="s">
        <v>5</v>
      </c>
      <c r="F437">
        <v>6.6400000000000001E-2</v>
      </c>
      <c r="G437" t="s">
        <v>239</v>
      </c>
    </row>
    <row r="438" spans="1:7" x14ac:dyDescent="0.3">
      <c r="A438" t="s">
        <v>180</v>
      </c>
      <c r="B438" t="s">
        <v>23</v>
      </c>
      <c r="C438" t="s">
        <v>1</v>
      </c>
      <c r="D438" t="s">
        <v>27</v>
      </c>
      <c r="E438" t="s">
        <v>5</v>
      </c>
      <c r="F438">
        <v>0.23119999999999999</v>
      </c>
      <c r="G438" t="s">
        <v>239</v>
      </c>
    </row>
    <row r="439" spans="1:7" x14ac:dyDescent="0.3">
      <c r="A439" t="s">
        <v>180</v>
      </c>
      <c r="B439" t="s">
        <v>23</v>
      </c>
      <c r="C439" t="s">
        <v>2</v>
      </c>
      <c r="D439" t="s">
        <v>27</v>
      </c>
      <c r="E439" t="s">
        <v>5</v>
      </c>
      <c r="F439">
        <v>0.51129999999999998</v>
      </c>
      <c r="G439" t="s">
        <v>239</v>
      </c>
    </row>
    <row r="440" spans="1:7" x14ac:dyDescent="0.3">
      <c r="A440" t="s">
        <v>180</v>
      </c>
      <c r="B440" t="s">
        <v>23</v>
      </c>
      <c r="C440" t="s">
        <v>3</v>
      </c>
      <c r="D440" t="s">
        <v>27</v>
      </c>
      <c r="E440" t="s">
        <v>5</v>
      </c>
      <c r="F440">
        <v>1.7623</v>
      </c>
      <c r="G440" t="s">
        <v>239</v>
      </c>
    </row>
    <row r="441" spans="1:7" x14ac:dyDescent="0.3">
      <c r="A441" t="s">
        <v>180</v>
      </c>
      <c r="B441" t="s">
        <v>23</v>
      </c>
      <c r="C441" t="s">
        <v>4</v>
      </c>
      <c r="D441" t="s">
        <v>27</v>
      </c>
      <c r="E441" t="s">
        <v>5</v>
      </c>
      <c r="F441">
        <v>2.1964999999999999</v>
      </c>
      <c r="G441" t="s">
        <v>239</v>
      </c>
    </row>
    <row r="442" spans="1:7" x14ac:dyDescent="0.3">
      <c r="A442" t="s">
        <v>180</v>
      </c>
      <c r="B442" t="s">
        <v>23</v>
      </c>
      <c r="C442" t="s">
        <v>179</v>
      </c>
      <c r="D442" t="s">
        <v>27</v>
      </c>
      <c r="E442" t="s">
        <v>5</v>
      </c>
      <c r="F442">
        <v>1.6109</v>
      </c>
      <c r="G442" t="s">
        <v>239</v>
      </c>
    </row>
    <row r="443" spans="1:7" x14ac:dyDescent="0.3">
      <c r="A443" t="s">
        <v>180</v>
      </c>
      <c r="B443" t="s">
        <v>256</v>
      </c>
      <c r="C443" t="s">
        <v>176</v>
      </c>
      <c r="D443" t="s">
        <v>27</v>
      </c>
      <c r="E443" t="s">
        <v>5</v>
      </c>
      <c r="F443">
        <v>0.25109999999999999</v>
      </c>
      <c r="G443" t="s">
        <v>239</v>
      </c>
    </row>
    <row r="444" spans="1:7" x14ac:dyDescent="0.3">
      <c r="A444" t="s">
        <v>180</v>
      </c>
      <c r="B444" t="s">
        <v>256</v>
      </c>
      <c r="C444" t="s">
        <v>177</v>
      </c>
      <c r="D444" t="s">
        <v>27</v>
      </c>
      <c r="E444" t="s">
        <v>5</v>
      </c>
      <c r="F444">
        <v>0.26640000000000003</v>
      </c>
      <c r="G444" t="s">
        <v>239</v>
      </c>
    </row>
    <row r="445" spans="1:7" x14ac:dyDescent="0.3">
      <c r="A445" t="s">
        <v>180</v>
      </c>
      <c r="B445" t="s">
        <v>256</v>
      </c>
      <c r="C445" t="s">
        <v>178</v>
      </c>
      <c r="D445" t="s">
        <v>27</v>
      </c>
      <c r="E445" t="s">
        <v>5</v>
      </c>
      <c r="F445">
        <v>0.23519999999999999</v>
      </c>
      <c r="G445" t="s">
        <v>239</v>
      </c>
    </row>
    <row r="446" spans="1:7" x14ac:dyDescent="0.3">
      <c r="A446" t="s">
        <v>180</v>
      </c>
      <c r="B446" t="s">
        <v>256</v>
      </c>
      <c r="C446" t="s">
        <v>0</v>
      </c>
      <c r="D446" t="s">
        <v>27</v>
      </c>
      <c r="E446" t="s">
        <v>5</v>
      </c>
      <c r="F446">
        <v>7.5700000000000003E-2</v>
      </c>
      <c r="G446" t="s">
        <v>239</v>
      </c>
    </row>
    <row r="447" spans="1:7" x14ac:dyDescent="0.3">
      <c r="A447" t="s">
        <v>180</v>
      </c>
      <c r="B447" t="s">
        <v>256</v>
      </c>
      <c r="C447" t="s">
        <v>1</v>
      </c>
      <c r="D447" t="s">
        <v>27</v>
      </c>
      <c r="E447" t="s">
        <v>5</v>
      </c>
      <c r="F447">
        <v>0.16969999999999999</v>
      </c>
      <c r="G447" t="s">
        <v>239</v>
      </c>
    </row>
    <row r="448" spans="1:7" x14ac:dyDescent="0.3">
      <c r="A448" t="s">
        <v>180</v>
      </c>
      <c r="B448" t="s">
        <v>256</v>
      </c>
      <c r="C448" t="s">
        <v>2</v>
      </c>
      <c r="D448" t="s">
        <v>27</v>
      </c>
      <c r="E448" t="s">
        <v>5</v>
      </c>
      <c r="F448">
        <v>0.23599999999999999</v>
      </c>
      <c r="G448" t="s">
        <v>239</v>
      </c>
    </row>
    <row r="449" spans="1:7" x14ac:dyDescent="0.3">
      <c r="A449" t="s">
        <v>180</v>
      </c>
      <c r="B449" t="s">
        <v>256</v>
      </c>
      <c r="C449" t="s">
        <v>3</v>
      </c>
      <c r="D449" t="s">
        <v>27</v>
      </c>
      <c r="E449" t="s">
        <v>5</v>
      </c>
      <c r="F449">
        <v>0.2258</v>
      </c>
      <c r="G449" t="s">
        <v>239</v>
      </c>
    </row>
    <row r="450" spans="1:7" x14ac:dyDescent="0.3">
      <c r="A450" t="s">
        <v>180</v>
      </c>
      <c r="B450" t="s">
        <v>256</v>
      </c>
      <c r="C450" t="s">
        <v>4</v>
      </c>
      <c r="D450" t="s">
        <v>27</v>
      </c>
      <c r="E450" t="s">
        <v>5</v>
      </c>
      <c r="F450">
        <v>0.19320000000000001</v>
      </c>
      <c r="G450" t="s">
        <v>239</v>
      </c>
    </row>
    <row r="451" spans="1:7" x14ac:dyDescent="0.3">
      <c r="A451" t="s">
        <v>180</v>
      </c>
      <c r="B451" t="s">
        <v>256</v>
      </c>
      <c r="C451" t="s">
        <v>179</v>
      </c>
      <c r="D451" t="s">
        <v>27</v>
      </c>
      <c r="E451" t="s">
        <v>5</v>
      </c>
      <c r="F451">
        <v>0.19470000000000001</v>
      </c>
      <c r="G451" t="s">
        <v>239</v>
      </c>
    </row>
    <row r="452" spans="1:7" x14ac:dyDescent="0.3">
      <c r="A452" t="s">
        <v>180</v>
      </c>
      <c r="B452" t="s">
        <v>255</v>
      </c>
      <c r="C452" t="s">
        <v>176</v>
      </c>
      <c r="D452" t="s">
        <v>27</v>
      </c>
      <c r="E452" t="s">
        <v>5</v>
      </c>
      <c r="F452">
        <v>3.0800000000000001E-2</v>
      </c>
      <c r="G452" t="s">
        <v>239</v>
      </c>
    </row>
    <row r="453" spans="1:7" x14ac:dyDescent="0.3">
      <c r="A453" t="s">
        <v>180</v>
      </c>
      <c r="B453" t="s">
        <v>255</v>
      </c>
      <c r="C453" t="s">
        <v>177</v>
      </c>
      <c r="D453" t="s">
        <v>27</v>
      </c>
      <c r="E453" t="s">
        <v>5</v>
      </c>
      <c r="F453">
        <v>4.9599999999999998E-2</v>
      </c>
      <c r="G453" t="s">
        <v>239</v>
      </c>
    </row>
    <row r="454" spans="1:7" x14ac:dyDescent="0.3">
      <c r="A454" t="s">
        <v>180</v>
      </c>
      <c r="B454" t="s">
        <v>255</v>
      </c>
      <c r="C454" t="s">
        <v>178</v>
      </c>
      <c r="D454" t="s">
        <v>27</v>
      </c>
      <c r="E454" t="s">
        <v>5</v>
      </c>
      <c r="F454">
        <v>3.1800000000000002E-2</v>
      </c>
      <c r="G454" t="s">
        <v>239</v>
      </c>
    </row>
    <row r="455" spans="1:7" x14ac:dyDescent="0.3">
      <c r="A455" t="s">
        <v>180</v>
      </c>
      <c r="B455" t="s">
        <v>255</v>
      </c>
      <c r="C455" t="s">
        <v>0</v>
      </c>
      <c r="D455" t="s">
        <v>27</v>
      </c>
      <c r="E455" t="s">
        <v>5</v>
      </c>
      <c r="F455">
        <v>5.7599999999999998E-2</v>
      </c>
      <c r="G455" t="s">
        <v>239</v>
      </c>
    </row>
    <row r="456" spans="1:7" x14ac:dyDescent="0.3">
      <c r="A456" t="s">
        <v>180</v>
      </c>
      <c r="B456" t="s">
        <v>255</v>
      </c>
      <c r="C456" t="s">
        <v>1</v>
      </c>
      <c r="D456" t="s">
        <v>27</v>
      </c>
      <c r="E456" t="s">
        <v>5</v>
      </c>
      <c r="F456">
        <v>0.1615</v>
      </c>
      <c r="G456" t="s">
        <v>239</v>
      </c>
    </row>
    <row r="457" spans="1:7" x14ac:dyDescent="0.3">
      <c r="A457" s="71" t="s">
        <v>180</v>
      </c>
      <c r="B457" s="71" t="s">
        <v>255</v>
      </c>
      <c r="C457" s="71" t="s">
        <v>2</v>
      </c>
      <c r="D457" s="71" t="s">
        <v>27</v>
      </c>
      <c r="E457" s="71" t="s">
        <v>5</v>
      </c>
      <c r="F457" s="71">
        <v>2.5119863013698631</v>
      </c>
      <c r="G457" s="71" t="s">
        <v>239</v>
      </c>
    </row>
    <row r="458" spans="1:7" x14ac:dyDescent="0.3">
      <c r="A458" s="71" t="s">
        <v>180</v>
      </c>
      <c r="B458" s="71" t="s">
        <v>255</v>
      </c>
      <c r="C458" s="71" t="s">
        <v>3</v>
      </c>
      <c r="D458" s="71" t="s">
        <v>27</v>
      </c>
      <c r="E458" s="71" t="s">
        <v>5</v>
      </c>
      <c r="F458" s="71">
        <v>2.2705796549974631</v>
      </c>
      <c r="G458" s="71" t="s">
        <v>239</v>
      </c>
    </row>
    <row r="459" spans="1:7" x14ac:dyDescent="0.3">
      <c r="A459" s="71" t="s">
        <v>180</v>
      </c>
      <c r="B459" s="71" t="s">
        <v>255</v>
      </c>
      <c r="C459" s="71" t="s">
        <v>4</v>
      </c>
      <c r="D459" s="71" t="s">
        <v>27</v>
      </c>
      <c r="E459" s="71" t="s">
        <v>5</v>
      </c>
      <c r="F459" s="71">
        <v>1.8401826484018264</v>
      </c>
      <c r="G459" s="71" t="s">
        <v>239</v>
      </c>
    </row>
    <row r="460" spans="1:7" x14ac:dyDescent="0.3">
      <c r="A460" s="71" t="s">
        <v>180</v>
      </c>
      <c r="B460" s="71" t="s">
        <v>255</v>
      </c>
      <c r="C460" s="71" t="s">
        <v>179</v>
      </c>
      <c r="D460" s="71" t="s">
        <v>27</v>
      </c>
      <c r="E460" s="71" t="s">
        <v>5</v>
      </c>
      <c r="F460" s="71">
        <v>2.6824264332825978</v>
      </c>
      <c r="G460" s="71" t="s">
        <v>239</v>
      </c>
    </row>
    <row r="461" spans="1:7" x14ac:dyDescent="0.3">
      <c r="A461" t="s">
        <v>180</v>
      </c>
      <c r="B461" t="s">
        <v>16</v>
      </c>
      <c r="C461" t="s">
        <v>176</v>
      </c>
      <c r="D461" t="s">
        <v>27</v>
      </c>
      <c r="E461" t="s">
        <v>5</v>
      </c>
      <c r="F461">
        <v>1.5246</v>
      </c>
      <c r="G461" t="s">
        <v>239</v>
      </c>
    </row>
    <row r="462" spans="1:7" x14ac:dyDescent="0.3">
      <c r="A462" t="s">
        <v>180</v>
      </c>
      <c r="B462" t="s">
        <v>16</v>
      </c>
      <c r="C462" t="s">
        <v>177</v>
      </c>
      <c r="D462" t="s">
        <v>27</v>
      </c>
      <c r="E462" t="s">
        <v>5</v>
      </c>
      <c r="F462">
        <v>2.2406999999999999</v>
      </c>
      <c r="G462" t="s">
        <v>239</v>
      </c>
    </row>
    <row r="463" spans="1:7" x14ac:dyDescent="0.3">
      <c r="A463" t="s">
        <v>180</v>
      </c>
      <c r="B463" t="s">
        <v>16</v>
      </c>
      <c r="C463" t="s">
        <v>178</v>
      </c>
      <c r="D463" t="s">
        <v>27</v>
      </c>
      <c r="E463" t="s">
        <v>5</v>
      </c>
      <c r="F463">
        <v>2.6406999999999998</v>
      </c>
      <c r="G463" t="s">
        <v>239</v>
      </c>
    </row>
    <row r="464" spans="1:7" x14ac:dyDescent="0.3">
      <c r="A464" t="s">
        <v>180</v>
      </c>
      <c r="B464" t="s">
        <v>16</v>
      </c>
      <c r="C464" t="s">
        <v>0</v>
      </c>
      <c r="D464" t="s">
        <v>27</v>
      </c>
      <c r="E464" t="s">
        <v>5</v>
      </c>
      <c r="F464">
        <v>4.8959999999999999</v>
      </c>
      <c r="G464" t="s">
        <v>239</v>
      </c>
    </row>
    <row r="465" spans="1:7" x14ac:dyDescent="0.3">
      <c r="A465" t="s">
        <v>180</v>
      </c>
      <c r="B465" t="s">
        <v>16</v>
      </c>
      <c r="C465" t="s">
        <v>1</v>
      </c>
      <c r="D465" t="s">
        <v>27</v>
      </c>
      <c r="E465" t="s">
        <v>5</v>
      </c>
      <c r="F465">
        <v>6.7539999999999996</v>
      </c>
      <c r="G465" t="s">
        <v>239</v>
      </c>
    </row>
    <row r="466" spans="1:7" x14ac:dyDescent="0.3">
      <c r="A466" t="s">
        <v>180</v>
      </c>
      <c r="B466" t="s">
        <v>16</v>
      </c>
      <c r="C466" t="s">
        <v>2</v>
      </c>
      <c r="D466" t="s">
        <v>27</v>
      </c>
      <c r="E466" t="s">
        <v>5</v>
      </c>
      <c r="F466">
        <v>6.6235999999999997</v>
      </c>
      <c r="G466" t="s">
        <v>239</v>
      </c>
    </row>
    <row r="467" spans="1:7" x14ac:dyDescent="0.3">
      <c r="A467" t="s">
        <v>180</v>
      </c>
      <c r="B467" t="s">
        <v>16</v>
      </c>
      <c r="C467" t="s">
        <v>3</v>
      </c>
      <c r="D467" t="s">
        <v>27</v>
      </c>
      <c r="E467" t="s">
        <v>5</v>
      </c>
      <c r="F467">
        <v>5.7733999999999996</v>
      </c>
      <c r="G467" t="s">
        <v>239</v>
      </c>
    </row>
    <row r="468" spans="1:7" x14ac:dyDescent="0.3">
      <c r="A468" t="s">
        <v>180</v>
      </c>
      <c r="B468" t="s">
        <v>16</v>
      </c>
      <c r="C468" t="s">
        <v>4</v>
      </c>
      <c r="D468" t="s">
        <v>27</v>
      </c>
      <c r="E468" t="s">
        <v>5</v>
      </c>
      <c r="F468">
        <v>8.0756999999999994</v>
      </c>
      <c r="G468" t="s">
        <v>239</v>
      </c>
    </row>
    <row r="469" spans="1:7" x14ac:dyDescent="0.3">
      <c r="A469" t="s">
        <v>180</v>
      </c>
      <c r="B469" t="s">
        <v>16</v>
      </c>
      <c r="C469" t="s">
        <v>179</v>
      </c>
      <c r="D469" t="s">
        <v>27</v>
      </c>
      <c r="E469" t="s">
        <v>5</v>
      </c>
      <c r="F469">
        <v>9.0229999999999997</v>
      </c>
      <c r="G469" t="s">
        <v>239</v>
      </c>
    </row>
    <row r="470" spans="1:7" x14ac:dyDescent="0.3">
      <c r="A470" t="s">
        <v>180</v>
      </c>
      <c r="B470" t="s">
        <v>135</v>
      </c>
      <c r="C470" t="s">
        <v>176</v>
      </c>
      <c r="D470" t="s">
        <v>27</v>
      </c>
      <c r="E470" t="s">
        <v>5</v>
      </c>
      <c r="F470">
        <v>0.1203</v>
      </c>
      <c r="G470" t="s">
        <v>239</v>
      </c>
    </row>
    <row r="471" spans="1:7" x14ac:dyDescent="0.3">
      <c r="A471" t="s">
        <v>180</v>
      </c>
      <c r="B471" t="s">
        <v>135</v>
      </c>
      <c r="C471" t="s">
        <v>177</v>
      </c>
      <c r="D471" t="s">
        <v>27</v>
      </c>
      <c r="E471" t="s">
        <v>5</v>
      </c>
      <c r="F471">
        <v>1.89E-2</v>
      </c>
      <c r="G471" t="s">
        <v>239</v>
      </c>
    </row>
    <row r="472" spans="1:7" x14ac:dyDescent="0.3">
      <c r="A472" t="s">
        <v>180</v>
      </c>
      <c r="B472" t="s">
        <v>135</v>
      </c>
      <c r="C472" t="s">
        <v>178</v>
      </c>
      <c r="D472" t="s">
        <v>27</v>
      </c>
      <c r="E472" t="s">
        <v>5</v>
      </c>
      <c r="F472">
        <v>0.38069999999999998</v>
      </c>
      <c r="G472" t="s">
        <v>239</v>
      </c>
    </row>
    <row r="473" spans="1:7" x14ac:dyDescent="0.3">
      <c r="A473" t="s">
        <v>180</v>
      </c>
      <c r="B473" t="s">
        <v>135</v>
      </c>
      <c r="C473" t="s">
        <v>0</v>
      </c>
      <c r="D473" t="s">
        <v>27</v>
      </c>
      <c r="E473" t="s">
        <v>5</v>
      </c>
      <c r="F473">
        <v>0.88449999999999995</v>
      </c>
      <c r="G473" t="s">
        <v>239</v>
      </c>
    </row>
    <row r="474" spans="1:7" x14ac:dyDescent="0.3">
      <c r="A474" t="s">
        <v>180</v>
      </c>
      <c r="B474" t="s">
        <v>135</v>
      </c>
      <c r="C474" t="s">
        <v>1</v>
      </c>
      <c r="D474" t="s">
        <v>27</v>
      </c>
      <c r="E474" t="s">
        <v>5</v>
      </c>
      <c r="F474">
        <v>2.0030999999999999</v>
      </c>
      <c r="G474" t="s">
        <v>239</v>
      </c>
    </row>
    <row r="475" spans="1:7" x14ac:dyDescent="0.3">
      <c r="A475" t="s">
        <v>180</v>
      </c>
      <c r="B475" t="s">
        <v>135</v>
      </c>
      <c r="C475" t="s">
        <v>2</v>
      </c>
      <c r="D475" t="s">
        <v>27</v>
      </c>
      <c r="E475" t="s">
        <v>5</v>
      </c>
      <c r="F475">
        <v>3.0712000000000002</v>
      </c>
      <c r="G475" t="s">
        <v>239</v>
      </c>
    </row>
    <row r="476" spans="1:7" x14ac:dyDescent="0.3">
      <c r="A476" t="s">
        <v>180</v>
      </c>
      <c r="B476" t="s">
        <v>135</v>
      </c>
      <c r="C476" t="s">
        <v>3</v>
      </c>
      <c r="D476" t="s">
        <v>27</v>
      </c>
      <c r="E476" t="s">
        <v>5</v>
      </c>
      <c r="F476">
        <v>2.1539000000000001</v>
      </c>
      <c r="G476" t="s">
        <v>239</v>
      </c>
    </row>
    <row r="477" spans="1:7" x14ac:dyDescent="0.3">
      <c r="A477" t="s">
        <v>180</v>
      </c>
      <c r="B477" t="s">
        <v>135</v>
      </c>
      <c r="C477" t="s">
        <v>4</v>
      </c>
      <c r="D477" t="s">
        <v>27</v>
      </c>
      <c r="E477" t="s">
        <v>5</v>
      </c>
      <c r="F477">
        <v>3.7884000000000002</v>
      </c>
      <c r="G477" t="s">
        <v>239</v>
      </c>
    </row>
    <row r="478" spans="1:7" x14ac:dyDescent="0.3">
      <c r="A478" t="s">
        <v>180</v>
      </c>
      <c r="B478" t="s">
        <v>135</v>
      </c>
      <c r="C478" t="s">
        <v>179</v>
      </c>
      <c r="D478" t="s">
        <v>27</v>
      </c>
      <c r="E478" t="s">
        <v>5</v>
      </c>
      <c r="F478">
        <v>4.7110000000000003</v>
      </c>
      <c r="G478" t="s">
        <v>239</v>
      </c>
    </row>
    <row r="479" spans="1:7" x14ac:dyDescent="0.3">
      <c r="A479" t="s">
        <v>180</v>
      </c>
      <c r="B479" t="s">
        <v>254</v>
      </c>
      <c r="C479" t="s">
        <v>176</v>
      </c>
      <c r="D479" t="s">
        <v>27</v>
      </c>
      <c r="E479" t="s">
        <v>5</v>
      </c>
      <c r="F479">
        <v>0.76539999999999997</v>
      </c>
      <c r="G479" t="s">
        <v>239</v>
      </c>
    </row>
    <row r="480" spans="1:7" x14ac:dyDescent="0.3">
      <c r="A480" t="s">
        <v>180</v>
      </c>
      <c r="B480" t="s">
        <v>254</v>
      </c>
      <c r="C480" t="s">
        <v>177</v>
      </c>
      <c r="D480" t="s">
        <v>27</v>
      </c>
      <c r="E480" t="s">
        <v>5</v>
      </c>
      <c r="F480">
        <v>0.8427</v>
      </c>
      <c r="G480" t="s">
        <v>239</v>
      </c>
    </row>
    <row r="481" spans="1:7" x14ac:dyDescent="0.3">
      <c r="A481" t="s">
        <v>180</v>
      </c>
      <c r="B481" t="s">
        <v>254</v>
      </c>
      <c r="C481" t="s">
        <v>178</v>
      </c>
      <c r="D481" t="s">
        <v>27</v>
      </c>
      <c r="E481" t="s">
        <v>5</v>
      </c>
      <c r="F481">
        <v>0.92610000000000003</v>
      </c>
      <c r="G481" t="s">
        <v>239</v>
      </c>
    </row>
    <row r="482" spans="1:7" x14ac:dyDescent="0.3">
      <c r="A482" t="s">
        <v>180</v>
      </c>
      <c r="B482" t="s">
        <v>254</v>
      </c>
      <c r="C482" t="s">
        <v>0</v>
      </c>
      <c r="D482" t="s">
        <v>27</v>
      </c>
      <c r="E482" t="s">
        <v>5</v>
      </c>
      <c r="F482">
        <v>1.0527</v>
      </c>
      <c r="G482" t="s">
        <v>239</v>
      </c>
    </row>
    <row r="483" spans="1:7" x14ac:dyDescent="0.3">
      <c r="A483" t="s">
        <v>180</v>
      </c>
      <c r="B483" t="s">
        <v>254</v>
      </c>
      <c r="C483" t="s">
        <v>1</v>
      </c>
      <c r="D483" t="s">
        <v>27</v>
      </c>
      <c r="E483" t="s">
        <v>5</v>
      </c>
      <c r="F483">
        <v>0.72430000000000005</v>
      </c>
      <c r="G483" t="s">
        <v>239</v>
      </c>
    </row>
    <row r="484" spans="1:7" x14ac:dyDescent="0.3">
      <c r="A484" s="71" t="s">
        <v>180</v>
      </c>
      <c r="B484" s="71" t="s">
        <v>254</v>
      </c>
      <c r="C484" s="71" t="s">
        <v>2</v>
      </c>
      <c r="D484" s="71" t="s">
        <v>27</v>
      </c>
      <c r="E484" s="71" t="s">
        <v>5</v>
      </c>
      <c r="F484" s="71">
        <v>0.96397767630644338</v>
      </c>
      <c r="G484" s="71" t="s">
        <v>239</v>
      </c>
    </row>
    <row r="485" spans="1:7" x14ac:dyDescent="0.3">
      <c r="A485" s="71" t="s">
        <v>180</v>
      </c>
      <c r="B485" s="71" t="s">
        <v>254</v>
      </c>
      <c r="C485" s="71" t="s">
        <v>3</v>
      </c>
      <c r="D485" s="71" t="s">
        <v>27</v>
      </c>
      <c r="E485" s="71" t="s">
        <v>5</v>
      </c>
      <c r="F485" s="71">
        <v>0.7316717402333841</v>
      </c>
      <c r="G485" s="71" t="s">
        <v>239</v>
      </c>
    </row>
    <row r="486" spans="1:7" x14ac:dyDescent="0.3">
      <c r="A486" s="71" t="s">
        <v>180</v>
      </c>
      <c r="B486" s="71" t="s">
        <v>254</v>
      </c>
      <c r="C486" s="71" t="s">
        <v>4</v>
      </c>
      <c r="D486" s="71" t="s">
        <v>27</v>
      </c>
      <c r="E486" s="71" t="s">
        <v>5</v>
      </c>
      <c r="F486" s="71">
        <v>0.7209855403348554</v>
      </c>
      <c r="G486" s="71" t="s">
        <v>239</v>
      </c>
    </row>
    <row r="487" spans="1:7" x14ac:dyDescent="0.3">
      <c r="A487" s="71" t="s">
        <v>180</v>
      </c>
      <c r="B487" s="71" t="s">
        <v>254</v>
      </c>
      <c r="C487" s="71" t="s">
        <v>179</v>
      </c>
      <c r="D487" s="71" t="s">
        <v>27</v>
      </c>
      <c r="E487" s="71" t="s">
        <v>5</v>
      </c>
      <c r="F487" s="71">
        <v>0.7209855403348554</v>
      </c>
      <c r="G487" s="71" t="s">
        <v>239</v>
      </c>
    </row>
    <row r="488" spans="1:7" x14ac:dyDescent="0.3">
      <c r="A488" t="s">
        <v>180</v>
      </c>
      <c r="B488" t="s">
        <v>253</v>
      </c>
      <c r="C488" t="s">
        <v>176</v>
      </c>
      <c r="D488" t="s">
        <v>27</v>
      </c>
      <c r="E488" t="s">
        <v>5</v>
      </c>
      <c r="F488">
        <v>1.6292</v>
      </c>
      <c r="G488" t="s">
        <v>239</v>
      </c>
    </row>
    <row r="489" spans="1:7" x14ac:dyDescent="0.3">
      <c r="A489" t="s">
        <v>180</v>
      </c>
      <c r="B489" t="s">
        <v>253</v>
      </c>
      <c r="C489" t="s">
        <v>177</v>
      </c>
      <c r="D489" t="s">
        <v>27</v>
      </c>
      <c r="E489" t="s">
        <v>5</v>
      </c>
      <c r="F489">
        <v>2.8696999999999999</v>
      </c>
      <c r="G489" t="s">
        <v>239</v>
      </c>
    </row>
    <row r="490" spans="1:7" x14ac:dyDescent="0.3">
      <c r="A490" t="s">
        <v>180</v>
      </c>
      <c r="B490" t="s">
        <v>253</v>
      </c>
      <c r="C490" t="s">
        <v>178</v>
      </c>
      <c r="D490" t="s">
        <v>27</v>
      </c>
      <c r="E490" t="s">
        <v>5</v>
      </c>
      <c r="F490">
        <v>4.1208</v>
      </c>
      <c r="G490" t="s">
        <v>239</v>
      </c>
    </row>
    <row r="491" spans="1:7" x14ac:dyDescent="0.3">
      <c r="A491" t="s">
        <v>180</v>
      </c>
      <c r="B491" t="s">
        <v>253</v>
      </c>
      <c r="C491" t="s">
        <v>0</v>
      </c>
      <c r="D491" t="s">
        <v>27</v>
      </c>
      <c r="E491" t="s">
        <v>5</v>
      </c>
      <c r="F491">
        <v>5.8258000000000001</v>
      </c>
      <c r="G491" t="s">
        <v>239</v>
      </c>
    </row>
    <row r="492" spans="1:7" x14ac:dyDescent="0.3">
      <c r="A492" t="s">
        <v>180</v>
      </c>
      <c r="B492" t="s">
        <v>253</v>
      </c>
      <c r="C492" t="s">
        <v>1</v>
      </c>
      <c r="D492" t="s">
        <v>27</v>
      </c>
      <c r="E492" t="s">
        <v>5</v>
      </c>
      <c r="F492">
        <v>8.6940000000000008</v>
      </c>
      <c r="G492" t="s">
        <v>239</v>
      </c>
    </row>
    <row r="493" spans="1:7" x14ac:dyDescent="0.3">
      <c r="A493" t="s">
        <v>180</v>
      </c>
      <c r="B493" t="s">
        <v>253</v>
      </c>
      <c r="C493" t="s">
        <v>2</v>
      </c>
      <c r="D493" t="s">
        <v>27</v>
      </c>
      <c r="E493" t="s">
        <v>5</v>
      </c>
      <c r="F493">
        <v>10.930899999999999</v>
      </c>
      <c r="G493" t="s">
        <v>239</v>
      </c>
    </row>
    <row r="494" spans="1:7" x14ac:dyDescent="0.3">
      <c r="A494" t="s">
        <v>180</v>
      </c>
      <c r="B494" t="s">
        <v>253</v>
      </c>
      <c r="C494" t="s">
        <v>3</v>
      </c>
      <c r="D494" t="s">
        <v>27</v>
      </c>
      <c r="E494" t="s">
        <v>5</v>
      </c>
      <c r="F494">
        <v>10.864000000000001</v>
      </c>
      <c r="G494" t="s">
        <v>239</v>
      </c>
    </row>
    <row r="495" spans="1:7" x14ac:dyDescent="0.3">
      <c r="A495" t="s">
        <v>180</v>
      </c>
      <c r="B495" t="s">
        <v>253</v>
      </c>
      <c r="C495" t="s">
        <v>4</v>
      </c>
      <c r="D495" t="s">
        <v>27</v>
      </c>
      <c r="E495" t="s">
        <v>5</v>
      </c>
      <c r="F495">
        <v>11.9641</v>
      </c>
      <c r="G495" t="s">
        <v>239</v>
      </c>
    </row>
    <row r="496" spans="1:7" x14ac:dyDescent="0.3">
      <c r="A496" s="71" t="s">
        <v>180</v>
      </c>
      <c r="B496" s="71" t="s">
        <v>253</v>
      </c>
      <c r="C496" s="71" t="s">
        <v>179</v>
      </c>
      <c r="D496" s="71" t="s">
        <v>27</v>
      </c>
      <c r="E496" s="71" t="s">
        <v>5</v>
      </c>
      <c r="F496" s="71">
        <v>17.960996955859969</v>
      </c>
      <c r="G496" s="71" t="s">
        <v>239</v>
      </c>
    </row>
    <row r="497" spans="1:7" x14ac:dyDescent="0.3">
      <c r="A497" t="s">
        <v>180</v>
      </c>
      <c r="B497" t="s">
        <v>252</v>
      </c>
      <c r="C497" t="s">
        <v>176</v>
      </c>
      <c r="D497" t="s">
        <v>27</v>
      </c>
      <c r="E497" t="s">
        <v>5</v>
      </c>
      <c r="F497">
        <v>0</v>
      </c>
      <c r="G497" t="s">
        <v>239</v>
      </c>
    </row>
    <row r="498" spans="1:7" x14ac:dyDescent="0.3">
      <c r="A498" t="s">
        <v>180</v>
      </c>
      <c r="B498" t="s">
        <v>252</v>
      </c>
      <c r="C498" t="s">
        <v>177</v>
      </c>
      <c r="D498" t="s">
        <v>27</v>
      </c>
      <c r="E498" t="s">
        <v>5</v>
      </c>
      <c r="F498">
        <v>0</v>
      </c>
      <c r="G498" t="s">
        <v>239</v>
      </c>
    </row>
    <row r="499" spans="1:7" x14ac:dyDescent="0.3">
      <c r="A499" t="s">
        <v>180</v>
      </c>
      <c r="B499" t="s">
        <v>252</v>
      </c>
      <c r="C499" t="s">
        <v>178</v>
      </c>
      <c r="D499" t="s">
        <v>27</v>
      </c>
      <c r="E499" t="s">
        <v>5</v>
      </c>
      <c r="F499">
        <v>0</v>
      </c>
      <c r="G499" t="s">
        <v>239</v>
      </c>
    </row>
    <row r="500" spans="1:7" x14ac:dyDescent="0.3">
      <c r="A500" t="s">
        <v>180</v>
      </c>
      <c r="B500" t="s">
        <v>252</v>
      </c>
      <c r="C500" t="s">
        <v>0</v>
      </c>
      <c r="D500" t="s">
        <v>27</v>
      </c>
      <c r="E500" t="s">
        <v>5</v>
      </c>
      <c r="F500">
        <v>0</v>
      </c>
      <c r="G500" t="s">
        <v>239</v>
      </c>
    </row>
    <row r="501" spans="1:7" x14ac:dyDescent="0.3">
      <c r="A501" t="s">
        <v>180</v>
      </c>
      <c r="B501" t="s">
        <v>252</v>
      </c>
      <c r="C501" t="s">
        <v>1</v>
      </c>
      <c r="D501" t="s">
        <v>27</v>
      </c>
      <c r="E501" t="s">
        <v>5</v>
      </c>
      <c r="F501">
        <v>0</v>
      </c>
      <c r="G501" t="s">
        <v>239</v>
      </c>
    </row>
    <row r="502" spans="1:7" x14ac:dyDescent="0.3">
      <c r="A502" t="s">
        <v>180</v>
      </c>
      <c r="B502" t="s">
        <v>252</v>
      </c>
      <c r="C502" t="s">
        <v>2</v>
      </c>
      <c r="D502" t="s">
        <v>27</v>
      </c>
      <c r="E502" t="s">
        <v>5</v>
      </c>
      <c r="F502">
        <v>0</v>
      </c>
      <c r="G502" t="s">
        <v>239</v>
      </c>
    </row>
    <row r="503" spans="1:7" x14ac:dyDescent="0.3">
      <c r="A503" t="s">
        <v>180</v>
      </c>
      <c r="B503" t="s">
        <v>252</v>
      </c>
      <c r="C503" t="s">
        <v>3</v>
      </c>
      <c r="D503" t="s">
        <v>27</v>
      </c>
      <c r="E503" t="s">
        <v>5</v>
      </c>
      <c r="F503">
        <v>0</v>
      </c>
      <c r="G503" t="s">
        <v>239</v>
      </c>
    </row>
    <row r="504" spans="1:7" x14ac:dyDescent="0.3">
      <c r="A504" t="s">
        <v>180</v>
      </c>
      <c r="B504" t="s">
        <v>252</v>
      </c>
      <c r="C504" t="s">
        <v>4</v>
      </c>
      <c r="D504" t="s">
        <v>27</v>
      </c>
      <c r="E504" t="s">
        <v>5</v>
      </c>
      <c r="F504">
        <v>0</v>
      </c>
      <c r="G504" t="s">
        <v>239</v>
      </c>
    </row>
    <row r="505" spans="1:7" x14ac:dyDescent="0.3">
      <c r="A505" t="s">
        <v>180</v>
      </c>
      <c r="B505" t="s">
        <v>252</v>
      </c>
      <c r="C505" t="s">
        <v>179</v>
      </c>
      <c r="D505" t="s">
        <v>27</v>
      </c>
      <c r="E505" t="s">
        <v>5</v>
      </c>
      <c r="F505">
        <v>0</v>
      </c>
      <c r="G505" t="s">
        <v>239</v>
      </c>
    </row>
    <row r="506" spans="1:7" x14ac:dyDescent="0.3">
      <c r="A506" t="s">
        <v>180</v>
      </c>
      <c r="B506" t="s">
        <v>251</v>
      </c>
      <c r="C506" t="s">
        <v>176</v>
      </c>
      <c r="D506" t="s">
        <v>27</v>
      </c>
      <c r="E506" t="s">
        <v>5</v>
      </c>
      <c r="F506">
        <v>0</v>
      </c>
      <c r="G506" t="s">
        <v>239</v>
      </c>
    </row>
    <row r="507" spans="1:7" x14ac:dyDescent="0.3">
      <c r="A507" t="s">
        <v>180</v>
      </c>
      <c r="B507" t="s">
        <v>251</v>
      </c>
      <c r="C507" t="s">
        <v>177</v>
      </c>
      <c r="D507" t="s">
        <v>27</v>
      </c>
      <c r="E507" t="s">
        <v>5</v>
      </c>
      <c r="F507">
        <v>0</v>
      </c>
      <c r="G507" t="s">
        <v>239</v>
      </c>
    </row>
    <row r="508" spans="1:7" x14ac:dyDescent="0.3">
      <c r="A508" t="s">
        <v>180</v>
      </c>
      <c r="B508" t="s">
        <v>251</v>
      </c>
      <c r="C508" t="s">
        <v>178</v>
      </c>
      <c r="D508" t="s">
        <v>27</v>
      </c>
      <c r="E508" t="s">
        <v>5</v>
      </c>
      <c r="F508">
        <v>0</v>
      </c>
      <c r="G508" t="s">
        <v>239</v>
      </c>
    </row>
    <row r="509" spans="1:7" x14ac:dyDescent="0.3">
      <c r="A509" t="s">
        <v>180</v>
      </c>
      <c r="B509" t="s">
        <v>251</v>
      </c>
      <c r="C509" t="s">
        <v>0</v>
      </c>
      <c r="D509" t="s">
        <v>27</v>
      </c>
      <c r="E509" t="s">
        <v>5</v>
      </c>
      <c r="F509">
        <v>0</v>
      </c>
      <c r="G509" t="s">
        <v>239</v>
      </c>
    </row>
    <row r="510" spans="1:7" x14ac:dyDescent="0.3">
      <c r="A510" t="s">
        <v>180</v>
      </c>
      <c r="B510" t="s">
        <v>251</v>
      </c>
      <c r="C510" t="s">
        <v>1</v>
      </c>
      <c r="D510" t="s">
        <v>27</v>
      </c>
      <c r="E510" t="s">
        <v>5</v>
      </c>
      <c r="F510">
        <v>0</v>
      </c>
      <c r="G510" t="s">
        <v>239</v>
      </c>
    </row>
    <row r="511" spans="1:7" x14ac:dyDescent="0.3">
      <c r="A511" t="s">
        <v>180</v>
      </c>
      <c r="B511" t="s">
        <v>251</v>
      </c>
      <c r="C511" t="s">
        <v>2</v>
      </c>
      <c r="D511" t="s">
        <v>27</v>
      </c>
      <c r="E511" t="s">
        <v>5</v>
      </c>
      <c r="F511">
        <v>0</v>
      </c>
      <c r="G511" t="s">
        <v>239</v>
      </c>
    </row>
    <row r="512" spans="1:7" x14ac:dyDescent="0.3">
      <c r="A512" t="s">
        <v>180</v>
      </c>
      <c r="B512" t="s">
        <v>251</v>
      </c>
      <c r="C512" t="s">
        <v>3</v>
      </c>
      <c r="D512" t="s">
        <v>27</v>
      </c>
      <c r="E512" t="s">
        <v>5</v>
      </c>
      <c r="F512">
        <v>0</v>
      </c>
      <c r="G512" t="s">
        <v>239</v>
      </c>
    </row>
    <row r="513" spans="1:7" x14ac:dyDescent="0.3">
      <c r="A513" t="s">
        <v>180</v>
      </c>
      <c r="B513" t="s">
        <v>251</v>
      </c>
      <c r="C513" t="s">
        <v>4</v>
      </c>
      <c r="D513" t="s">
        <v>27</v>
      </c>
      <c r="E513" t="s">
        <v>5</v>
      </c>
      <c r="F513">
        <v>0</v>
      </c>
      <c r="G513" t="s">
        <v>239</v>
      </c>
    </row>
    <row r="514" spans="1:7" x14ac:dyDescent="0.3">
      <c r="A514" t="s">
        <v>180</v>
      </c>
      <c r="B514" t="s">
        <v>251</v>
      </c>
      <c r="C514" t="s">
        <v>179</v>
      </c>
      <c r="D514" t="s">
        <v>27</v>
      </c>
      <c r="E514" t="s">
        <v>5</v>
      </c>
      <c r="F514">
        <v>0</v>
      </c>
      <c r="G514" t="s">
        <v>239</v>
      </c>
    </row>
    <row r="515" spans="1:7" x14ac:dyDescent="0.3">
      <c r="A515" t="s">
        <v>180</v>
      </c>
      <c r="B515" t="s">
        <v>134</v>
      </c>
      <c r="C515" t="s">
        <v>176</v>
      </c>
      <c r="D515" t="s">
        <v>27</v>
      </c>
      <c r="E515" t="s">
        <v>5</v>
      </c>
      <c r="F515">
        <v>6.9099999999999995E-2</v>
      </c>
      <c r="G515" t="s">
        <v>239</v>
      </c>
    </row>
    <row r="516" spans="1:7" x14ac:dyDescent="0.3">
      <c r="A516" t="s">
        <v>180</v>
      </c>
      <c r="B516" t="s">
        <v>134</v>
      </c>
      <c r="C516" t="s">
        <v>177</v>
      </c>
      <c r="D516" t="s">
        <v>27</v>
      </c>
      <c r="E516" t="s">
        <v>5</v>
      </c>
      <c r="F516">
        <v>2.0000000000000001E-4</v>
      </c>
      <c r="G516" t="s">
        <v>239</v>
      </c>
    </row>
    <row r="517" spans="1:7" x14ac:dyDescent="0.3">
      <c r="A517" t="s">
        <v>180</v>
      </c>
      <c r="B517" t="s">
        <v>134</v>
      </c>
      <c r="C517" t="s">
        <v>178</v>
      </c>
      <c r="D517" t="s">
        <v>27</v>
      </c>
      <c r="E517" t="s">
        <v>5</v>
      </c>
      <c r="F517">
        <v>3.95E-2</v>
      </c>
      <c r="G517" t="s">
        <v>239</v>
      </c>
    </row>
    <row r="518" spans="1:7" x14ac:dyDescent="0.3">
      <c r="A518" t="s">
        <v>180</v>
      </c>
      <c r="B518" t="s">
        <v>134</v>
      </c>
      <c r="C518" t="s">
        <v>0</v>
      </c>
      <c r="D518" t="s">
        <v>27</v>
      </c>
      <c r="E518" t="s">
        <v>5</v>
      </c>
      <c r="F518">
        <v>3.3399999999999999E-2</v>
      </c>
      <c r="G518" t="s">
        <v>239</v>
      </c>
    </row>
    <row r="519" spans="1:7" x14ac:dyDescent="0.3">
      <c r="A519" t="s">
        <v>180</v>
      </c>
      <c r="B519" t="s">
        <v>134</v>
      </c>
      <c r="C519" t="s">
        <v>1</v>
      </c>
      <c r="D519" t="s">
        <v>27</v>
      </c>
      <c r="E519" t="s">
        <v>5</v>
      </c>
      <c r="F519">
        <v>5.5100000000000003E-2</v>
      </c>
      <c r="G519" t="s">
        <v>239</v>
      </c>
    </row>
    <row r="520" spans="1:7" x14ac:dyDescent="0.3">
      <c r="A520" t="s">
        <v>180</v>
      </c>
      <c r="B520" t="s">
        <v>134</v>
      </c>
      <c r="C520" t="s">
        <v>2</v>
      </c>
      <c r="D520" t="s">
        <v>27</v>
      </c>
      <c r="E520" t="s">
        <v>5</v>
      </c>
      <c r="F520">
        <v>0.22800000000000001</v>
      </c>
      <c r="G520" t="s">
        <v>239</v>
      </c>
    </row>
    <row r="521" spans="1:7" x14ac:dyDescent="0.3">
      <c r="A521" t="s">
        <v>180</v>
      </c>
      <c r="B521" t="s">
        <v>134</v>
      </c>
      <c r="C521" t="s">
        <v>3</v>
      </c>
      <c r="D521" t="s">
        <v>27</v>
      </c>
      <c r="E521" t="s">
        <v>5</v>
      </c>
      <c r="F521">
        <v>0.28360000000000002</v>
      </c>
      <c r="G521" t="s">
        <v>239</v>
      </c>
    </row>
    <row r="522" spans="1:7" x14ac:dyDescent="0.3">
      <c r="A522" t="s">
        <v>180</v>
      </c>
      <c r="B522" t="s">
        <v>134</v>
      </c>
      <c r="C522" t="s">
        <v>4</v>
      </c>
      <c r="D522" t="s">
        <v>27</v>
      </c>
      <c r="E522" t="s">
        <v>5</v>
      </c>
      <c r="F522">
        <v>0.39040000000000002</v>
      </c>
      <c r="G522" t="s">
        <v>239</v>
      </c>
    </row>
    <row r="523" spans="1:7" x14ac:dyDescent="0.3">
      <c r="A523" t="s">
        <v>180</v>
      </c>
      <c r="B523" t="s">
        <v>134</v>
      </c>
      <c r="C523" t="s">
        <v>179</v>
      </c>
      <c r="D523" t="s">
        <v>27</v>
      </c>
      <c r="E523" t="s">
        <v>5</v>
      </c>
      <c r="F523">
        <v>0.69379999999999997</v>
      </c>
      <c r="G523" t="s">
        <v>239</v>
      </c>
    </row>
    <row r="524" spans="1:7" x14ac:dyDescent="0.3">
      <c r="A524" t="s">
        <v>180</v>
      </c>
      <c r="B524" t="s">
        <v>22</v>
      </c>
      <c r="C524" t="s">
        <v>176</v>
      </c>
      <c r="D524" t="s">
        <v>27</v>
      </c>
      <c r="E524" t="s">
        <v>5</v>
      </c>
      <c r="F524">
        <v>0</v>
      </c>
      <c r="G524" t="s">
        <v>239</v>
      </c>
    </row>
    <row r="525" spans="1:7" x14ac:dyDescent="0.3">
      <c r="A525" t="s">
        <v>180</v>
      </c>
      <c r="B525" t="s">
        <v>22</v>
      </c>
      <c r="C525" t="s">
        <v>177</v>
      </c>
      <c r="D525" t="s">
        <v>27</v>
      </c>
      <c r="E525" t="s">
        <v>5</v>
      </c>
      <c r="F525">
        <v>0</v>
      </c>
      <c r="G525" t="s">
        <v>239</v>
      </c>
    </row>
    <row r="526" spans="1:7" x14ac:dyDescent="0.3">
      <c r="A526" t="s">
        <v>180</v>
      </c>
      <c r="B526" t="s">
        <v>22</v>
      </c>
      <c r="C526" t="s">
        <v>178</v>
      </c>
      <c r="D526" t="s">
        <v>27</v>
      </c>
      <c r="E526" t="s">
        <v>5</v>
      </c>
      <c r="F526">
        <v>0</v>
      </c>
      <c r="G526" t="s">
        <v>239</v>
      </c>
    </row>
    <row r="527" spans="1:7" x14ac:dyDescent="0.3">
      <c r="A527" t="s">
        <v>180</v>
      </c>
      <c r="B527" t="s">
        <v>22</v>
      </c>
      <c r="C527" t="s">
        <v>0</v>
      </c>
      <c r="D527" t="s">
        <v>27</v>
      </c>
      <c r="E527" t="s">
        <v>5</v>
      </c>
      <c r="F527">
        <v>0.36220000000000002</v>
      </c>
      <c r="G527" t="s">
        <v>239</v>
      </c>
    </row>
    <row r="528" spans="1:7" x14ac:dyDescent="0.3">
      <c r="A528" t="s">
        <v>180</v>
      </c>
      <c r="B528" t="s">
        <v>22</v>
      </c>
      <c r="C528" t="s">
        <v>1</v>
      </c>
      <c r="D528" t="s">
        <v>27</v>
      </c>
      <c r="E528" t="s">
        <v>5</v>
      </c>
      <c r="F528">
        <v>0.4088</v>
      </c>
      <c r="G528" t="s">
        <v>239</v>
      </c>
    </row>
    <row r="529" spans="1:7" x14ac:dyDescent="0.3">
      <c r="A529" t="s">
        <v>180</v>
      </c>
      <c r="B529" t="s">
        <v>22</v>
      </c>
      <c r="C529" t="s">
        <v>2</v>
      </c>
      <c r="D529" t="s">
        <v>27</v>
      </c>
      <c r="E529" t="s">
        <v>5</v>
      </c>
      <c r="F529">
        <v>0.57650000000000001</v>
      </c>
      <c r="G529" t="s">
        <v>239</v>
      </c>
    </row>
    <row r="530" spans="1:7" x14ac:dyDescent="0.3">
      <c r="A530" t="s">
        <v>180</v>
      </c>
      <c r="B530" t="s">
        <v>22</v>
      </c>
      <c r="C530" t="s">
        <v>3</v>
      </c>
      <c r="D530" t="s">
        <v>27</v>
      </c>
      <c r="E530" t="s">
        <v>5</v>
      </c>
      <c r="F530">
        <v>0</v>
      </c>
      <c r="G530" t="s">
        <v>239</v>
      </c>
    </row>
    <row r="531" spans="1:7" x14ac:dyDescent="0.3">
      <c r="A531" t="s">
        <v>180</v>
      </c>
      <c r="B531" t="s">
        <v>22</v>
      </c>
      <c r="C531" t="s">
        <v>4</v>
      </c>
      <c r="D531" t="s">
        <v>27</v>
      </c>
      <c r="E531" t="s">
        <v>5</v>
      </c>
      <c r="F531">
        <v>0</v>
      </c>
      <c r="G531" t="s">
        <v>239</v>
      </c>
    </row>
    <row r="532" spans="1:7" x14ac:dyDescent="0.3">
      <c r="A532" t="s">
        <v>180</v>
      </c>
      <c r="B532" t="s">
        <v>22</v>
      </c>
      <c r="C532" t="s">
        <v>179</v>
      </c>
      <c r="D532" t="s">
        <v>27</v>
      </c>
      <c r="E532" t="s">
        <v>5</v>
      </c>
      <c r="F532">
        <v>0.85219999999999996</v>
      </c>
      <c r="G532" t="s">
        <v>239</v>
      </c>
    </row>
    <row r="533" spans="1:7" x14ac:dyDescent="0.3">
      <c r="A533" t="s">
        <v>180</v>
      </c>
      <c r="B533" t="s">
        <v>137</v>
      </c>
      <c r="C533" t="s">
        <v>176</v>
      </c>
      <c r="D533" t="s">
        <v>27</v>
      </c>
      <c r="E533" t="s">
        <v>5</v>
      </c>
      <c r="F533">
        <v>0.45090000000000002</v>
      </c>
      <c r="G533" t="s">
        <v>239</v>
      </c>
    </row>
    <row r="534" spans="1:7" x14ac:dyDescent="0.3">
      <c r="A534" t="s">
        <v>180</v>
      </c>
      <c r="B534" t="s">
        <v>137</v>
      </c>
      <c r="C534" t="s">
        <v>177</v>
      </c>
      <c r="D534" t="s">
        <v>27</v>
      </c>
      <c r="E534" t="s">
        <v>5</v>
      </c>
      <c r="F534">
        <v>0.65600000000000003</v>
      </c>
      <c r="G534" t="s">
        <v>239</v>
      </c>
    </row>
    <row r="535" spans="1:7" x14ac:dyDescent="0.3">
      <c r="A535" t="s">
        <v>180</v>
      </c>
      <c r="B535" t="s">
        <v>137</v>
      </c>
      <c r="C535" t="s">
        <v>178</v>
      </c>
      <c r="D535" t="s">
        <v>27</v>
      </c>
      <c r="E535" t="s">
        <v>5</v>
      </c>
      <c r="F535">
        <v>1.7439</v>
      </c>
      <c r="G535" t="s">
        <v>239</v>
      </c>
    </row>
    <row r="536" spans="1:7" x14ac:dyDescent="0.3">
      <c r="A536" t="s">
        <v>180</v>
      </c>
      <c r="B536" t="s">
        <v>137</v>
      </c>
      <c r="C536" t="s">
        <v>0</v>
      </c>
      <c r="D536" t="s">
        <v>27</v>
      </c>
      <c r="E536" t="s">
        <v>5</v>
      </c>
      <c r="F536">
        <v>3.5895999999999999</v>
      </c>
      <c r="G536" t="s">
        <v>239</v>
      </c>
    </row>
    <row r="537" spans="1:7" x14ac:dyDescent="0.3">
      <c r="A537" t="s">
        <v>180</v>
      </c>
      <c r="B537" t="s">
        <v>137</v>
      </c>
      <c r="C537" t="s">
        <v>1</v>
      </c>
      <c r="D537" t="s">
        <v>27</v>
      </c>
      <c r="E537" t="s">
        <v>5</v>
      </c>
      <c r="F537">
        <v>3.7170000000000001</v>
      </c>
      <c r="G537" t="s">
        <v>239</v>
      </c>
    </row>
    <row r="538" spans="1:7" x14ac:dyDescent="0.3">
      <c r="A538" t="s">
        <v>180</v>
      </c>
      <c r="B538" t="s">
        <v>137</v>
      </c>
      <c r="C538" t="s">
        <v>2</v>
      </c>
      <c r="D538" t="s">
        <v>27</v>
      </c>
      <c r="E538" t="s">
        <v>5</v>
      </c>
      <c r="F538">
        <v>3.9704999999999999</v>
      </c>
      <c r="G538" t="s">
        <v>239</v>
      </c>
    </row>
    <row r="539" spans="1:7" x14ac:dyDescent="0.3">
      <c r="A539" t="s">
        <v>180</v>
      </c>
      <c r="B539" t="s">
        <v>137</v>
      </c>
      <c r="C539" t="s">
        <v>3</v>
      </c>
      <c r="D539" t="s">
        <v>27</v>
      </c>
      <c r="E539" t="s">
        <v>5</v>
      </c>
      <c r="F539">
        <v>4.7462999999999997</v>
      </c>
      <c r="G539" t="s">
        <v>239</v>
      </c>
    </row>
    <row r="540" spans="1:7" x14ac:dyDescent="0.3">
      <c r="A540" t="s">
        <v>180</v>
      </c>
      <c r="B540" t="s">
        <v>137</v>
      </c>
      <c r="C540" t="s">
        <v>4</v>
      </c>
      <c r="D540" t="s">
        <v>27</v>
      </c>
      <c r="E540" t="s">
        <v>5</v>
      </c>
      <c r="F540">
        <v>4.6436000000000002</v>
      </c>
      <c r="G540" t="s">
        <v>239</v>
      </c>
    </row>
    <row r="541" spans="1:7" x14ac:dyDescent="0.3">
      <c r="A541" t="s">
        <v>180</v>
      </c>
      <c r="B541" t="s">
        <v>137</v>
      </c>
      <c r="C541" t="s">
        <v>179</v>
      </c>
      <c r="D541" t="s">
        <v>27</v>
      </c>
      <c r="E541" t="s">
        <v>5</v>
      </c>
      <c r="F541">
        <v>7.4107000000000003</v>
      </c>
      <c r="G541" t="s">
        <v>239</v>
      </c>
    </row>
    <row r="542" spans="1:7" x14ac:dyDescent="0.3">
      <c r="A542" t="s">
        <v>180</v>
      </c>
      <c r="B542" t="s">
        <v>15</v>
      </c>
      <c r="C542" t="s">
        <v>176</v>
      </c>
      <c r="D542" t="s">
        <v>27</v>
      </c>
      <c r="E542" t="s">
        <v>5</v>
      </c>
      <c r="F542">
        <v>3.8599000000000001</v>
      </c>
      <c r="G542" t="s">
        <v>239</v>
      </c>
    </row>
    <row r="543" spans="1:7" x14ac:dyDescent="0.3">
      <c r="A543" t="s">
        <v>180</v>
      </c>
      <c r="B543" t="s">
        <v>15</v>
      </c>
      <c r="C543" t="s">
        <v>177</v>
      </c>
      <c r="D543" t="s">
        <v>27</v>
      </c>
      <c r="E543" t="s">
        <v>5</v>
      </c>
      <c r="F543">
        <v>5.3103999999999996</v>
      </c>
      <c r="G543" t="s">
        <v>239</v>
      </c>
    </row>
    <row r="544" spans="1:7" x14ac:dyDescent="0.3">
      <c r="A544" t="s">
        <v>180</v>
      </c>
      <c r="B544" t="s">
        <v>15</v>
      </c>
      <c r="C544" t="s">
        <v>178</v>
      </c>
      <c r="D544" t="s">
        <v>27</v>
      </c>
      <c r="E544" t="s">
        <v>5</v>
      </c>
      <c r="F544">
        <v>5.4557000000000002</v>
      </c>
      <c r="G544" t="s">
        <v>239</v>
      </c>
    </row>
    <row r="545" spans="1:7" x14ac:dyDescent="0.3">
      <c r="A545" t="s">
        <v>180</v>
      </c>
      <c r="B545" t="s">
        <v>15</v>
      </c>
      <c r="C545" t="s">
        <v>0</v>
      </c>
      <c r="D545" t="s">
        <v>27</v>
      </c>
      <c r="E545" t="s">
        <v>5</v>
      </c>
      <c r="F545">
        <v>4.9631999999999996</v>
      </c>
      <c r="G545" t="s">
        <v>239</v>
      </c>
    </row>
    <row r="546" spans="1:7" x14ac:dyDescent="0.3">
      <c r="A546" t="s">
        <v>180</v>
      </c>
      <c r="B546" t="s">
        <v>15</v>
      </c>
      <c r="C546" t="s">
        <v>1</v>
      </c>
      <c r="D546" t="s">
        <v>27</v>
      </c>
      <c r="E546" t="s">
        <v>5</v>
      </c>
      <c r="F546">
        <v>5.3918999999999997</v>
      </c>
      <c r="G546" t="s">
        <v>239</v>
      </c>
    </row>
    <row r="547" spans="1:7" x14ac:dyDescent="0.3">
      <c r="A547" t="s">
        <v>180</v>
      </c>
      <c r="B547" t="s">
        <v>15</v>
      </c>
      <c r="C547" t="s">
        <v>2</v>
      </c>
      <c r="D547" t="s">
        <v>27</v>
      </c>
      <c r="E547" t="s">
        <v>5</v>
      </c>
      <c r="F547">
        <v>9.6927000000000003</v>
      </c>
      <c r="G547" t="s">
        <v>239</v>
      </c>
    </row>
    <row r="548" spans="1:7" x14ac:dyDescent="0.3">
      <c r="A548" t="s">
        <v>180</v>
      </c>
      <c r="B548" t="s">
        <v>15</v>
      </c>
      <c r="C548" t="s">
        <v>3</v>
      </c>
      <c r="D548" t="s">
        <v>27</v>
      </c>
      <c r="E548" t="s">
        <v>5</v>
      </c>
      <c r="F548">
        <v>11.8408</v>
      </c>
      <c r="G548" t="s">
        <v>239</v>
      </c>
    </row>
    <row r="549" spans="1:7" x14ac:dyDescent="0.3">
      <c r="A549" t="s">
        <v>180</v>
      </c>
      <c r="B549" t="s">
        <v>15</v>
      </c>
      <c r="C549" t="s">
        <v>4</v>
      </c>
      <c r="D549" t="s">
        <v>27</v>
      </c>
      <c r="E549" t="s">
        <v>5</v>
      </c>
      <c r="F549">
        <v>9.1659000000000006</v>
      </c>
      <c r="G549" t="s">
        <v>239</v>
      </c>
    </row>
    <row r="550" spans="1:7" x14ac:dyDescent="0.3">
      <c r="A550" s="71" t="s">
        <v>180</v>
      </c>
      <c r="B550" s="71" t="s">
        <v>15</v>
      </c>
      <c r="C550" s="71" t="s">
        <v>179</v>
      </c>
      <c r="D550" s="71" t="s">
        <v>27</v>
      </c>
      <c r="E550" s="71" t="s">
        <v>5</v>
      </c>
      <c r="F550" s="71">
        <v>11.94406392694064</v>
      </c>
      <c r="G550" s="71" t="s">
        <v>239</v>
      </c>
    </row>
    <row r="551" spans="1:7" x14ac:dyDescent="0.3">
      <c r="A551" t="s">
        <v>180</v>
      </c>
      <c r="B551" t="s">
        <v>250</v>
      </c>
      <c r="C551" t="s">
        <v>176</v>
      </c>
      <c r="D551" t="s">
        <v>27</v>
      </c>
      <c r="E551" t="s">
        <v>5</v>
      </c>
      <c r="F551">
        <v>1.4111</v>
      </c>
      <c r="G551" t="s">
        <v>239</v>
      </c>
    </row>
    <row r="552" spans="1:7" x14ac:dyDescent="0.3">
      <c r="A552" t="s">
        <v>180</v>
      </c>
      <c r="B552" t="s">
        <v>250</v>
      </c>
      <c r="C552" t="s">
        <v>177</v>
      </c>
      <c r="D552" t="s">
        <v>27</v>
      </c>
      <c r="E552" t="s">
        <v>5</v>
      </c>
      <c r="F552">
        <v>1.9488000000000001</v>
      </c>
      <c r="G552" t="s">
        <v>239</v>
      </c>
    </row>
    <row r="553" spans="1:7" x14ac:dyDescent="0.3">
      <c r="A553" t="s">
        <v>180</v>
      </c>
      <c r="B553" t="s">
        <v>250</v>
      </c>
      <c r="C553" t="s">
        <v>178</v>
      </c>
      <c r="D553" t="s">
        <v>27</v>
      </c>
      <c r="E553" t="s">
        <v>5</v>
      </c>
      <c r="F553">
        <v>2.2921</v>
      </c>
      <c r="G553" t="s">
        <v>239</v>
      </c>
    </row>
    <row r="554" spans="1:7" x14ac:dyDescent="0.3">
      <c r="A554" t="s">
        <v>180</v>
      </c>
      <c r="B554" t="s">
        <v>250</v>
      </c>
      <c r="C554" t="s">
        <v>0</v>
      </c>
      <c r="D554" t="s">
        <v>27</v>
      </c>
      <c r="E554" t="s">
        <v>5</v>
      </c>
      <c r="F554">
        <v>2.5728</v>
      </c>
      <c r="G554" t="s">
        <v>239</v>
      </c>
    </row>
    <row r="555" spans="1:7" x14ac:dyDescent="0.3">
      <c r="A555" t="s">
        <v>180</v>
      </c>
      <c r="B555" t="s">
        <v>250</v>
      </c>
      <c r="C555" t="s">
        <v>1</v>
      </c>
      <c r="D555" t="s">
        <v>27</v>
      </c>
      <c r="E555" t="s">
        <v>5</v>
      </c>
      <c r="F555">
        <v>2.5009000000000001</v>
      </c>
      <c r="G555" t="s">
        <v>239</v>
      </c>
    </row>
    <row r="556" spans="1:7" x14ac:dyDescent="0.3">
      <c r="A556" t="s">
        <v>180</v>
      </c>
      <c r="B556" t="s">
        <v>250</v>
      </c>
      <c r="C556" t="s">
        <v>2</v>
      </c>
      <c r="D556" t="s">
        <v>27</v>
      </c>
      <c r="E556" t="s">
        <v>5</v>
      </c>
      <c r="F556">
        <v>4.1374000000000004</v>
      </c>
      <c r="G556" t="s">
        <v>239</v>
      </c>
    </row>
    <row r="557" spans="1:7" x14ac:dyDescent="0.3">
      <c r="A557" t="s">
        <v>180</v>
      </c>
      <c r="B557" t="s">
        <v>250</v>
      </c>
      <c r="C557" t="s">
        <v>3</v>
      </c>
      <c r="D557" t="s">
        <v>27</v>
      </c>
      <c r="E557" t="s">
        <v>5</v>
      </c>
      <c r="F557">
        <v>4.7172000000000001</v>
      </c>
      <c r="G557" t="s">
        <v>239</v>
      </c>
    </row>
    <row r="558" spans="1:7" x14ac:dyDescent="0.3">
      <c r="A558" t="s">
        <v>180</v>
      </c>
      <c r="B558" t="s">
        <v>250</v>
      </c>
      <c r="C558" t="s">
        <v>4</v>
      </c>
      <c r="D558" t="s">
        <v>27</v>
      </c>
      <c r="E558" t="s">
        <v>5</v>
      </c>
      <c r="F558">
        <v>3.4198</v>
      </c>
      <c r="G558" t="s">
        <v>239</v>
      </c>
    </row>
    <row r="559" spans="1:7" x14ac:dyDescent="0.3">
      <c r="A559" t="s">
        <v>180</v>
      </c>
      <c r="B559" t="s">
        <v>250</v>
      </c>
      <c r="C559" t="s">
        <v>179</v>
      </c>
      <c r="D559" t="s">
        <v>27</v>
      </c>
      <c r="E559" t="s">
        <v>5</v>
      </c>
      <c r="F559">
        <v>4.3183999999999996</v>
      </c>
      <c r="G559" t="s">
        <v>239</v>
      </c>
    </row>
    <row r="560" spans="1:7" x14ac:dyDescent="0.3">
      <c r="A560" t="s">
        <v>180</v>
      </c>
      <c r="B560" t="s">
        <v>249</v>
      </c>
      <c r="C560" t="s">
        <v>176</v>
      </c>
      <c r="D560" t="s">
        <v>27</v>
      </c>
      <c r="E560" t="s">
        <v>5</v>
      </c>
      <c r="F560">
        <v>2.8090999999999999</v>
      </c>
      <c r="G560" t="s">
        <v>239</v>
      </c>
    </row>
    <row r="561" spans="1:7" x14ac:dyDescent="0.3">
      <c r="A561" t="s">
        <v>180</v>
      </c>
      <c r="B561" t="s">
        <v>249</v>
      </c>
      <c r="C561" t="s">
        <v>177</v>
      </c>
      <c r="D561" t="s">
        <v>27</v>
      </c>
      <c r="E561" t="s">
        <v>5</v>
      </c>
      <c r="F561">
        <v>3.9241000000000001</v>
      </c>
      <c r="G561" t="s">
        <v>239</v>
      </c>
    </row>
    <row r="562" spans="1:7" x14ac:dyDescent="0.3">
      <c r="A562" t="s">
        <v>180</v>
      </c>
      <c r="B562" t="s">
        <v>249</v>
      </c>
      <c r="C562" t="s">
        <v>178</v>
      </c>
      <c r="D562" t="s">
        <v>27</v>
      </c>
      <c r="E562" t="s">
        <v>5</v>
      </c>
      <c r="F562">
        <v>4.6776999999999997</v>
      </c>
      <c r="G562" t="s">
        <v>239</v>
      </c>
    </row>
    <row r="563" spans="1:7" x14ac:dyDescent="0.3">
      <c r="A563" t="s">
        <v>180</v>
      </c>
      <c r="B563" t="s">
        <v>249</v>
      </c>
      <c r="C563" t="s">
        <v>0</v>
      </c>
      <c r="D563" t="s">
        <v>27</v>
      </c>
      <c r="E563" t="s">
        <v>5</v>
      </c>
      <c r="F563">
        <v>5.0671999999999997</v>
      </c>
      <c r="G563" t="s">
        <v>239</v>
      </c>
    </row>
    <row r="564" spans="1:7" x14ac:dyDescent="0.3">
      <c r="A564" t="s">
        <v>180</v>
      </c>
      <c r="B564" t="s">
        <v>249</v>
      </c>
      <c r="C564" t="s">
        <v>1</v>
      </c>
      <c r="D564" t="s">
        <v>27</v>
      </c>
      <c r="E564" t="s">
        <v>5</v>
      </c>
      <c r="F564">
        <v>5.4149000000000003</v>
      </c>
      <c r="G564" t="s">
        <v>239</v>
      </c>
    </row>
    <row r="565" spans="1:7" x14ac:dyDescent="0.3">
      <c r="A565" t="s">
        <v>180</v>
      </c>
      <c r="B565" t="s">
        <v>249</v>
      </c>
      <c r="C565" t="s">
        <v>2</v>
      </c>
      <c r="D565" t="s">
        <v>27</v>
      </c>
      <c r="E565" t="s">
        <v>5</v>
      </c>
      <c r="F565">
        <v>7.7347000000000001</v>
      </c>
      <c r="G565" t="s">
        <v>239</v>
      </c>
    </row>
    <row r="566" spans="1:7" x14ac:dyDescent="0.3">
      <c r="A566" t="s">
        <v>180</v>
      </c>
      <c r="B566" t="s">
        <v>249</v>
      </c>
      <c r="C566" t="s">
        <v>3</v>
      </c>
      <c r="D566" t="s">
        <v>27</v>
      </c>
      <c r="E566" t="s">
        <v>5</v>
      </c>
      <c r="F566">
        <v>10.3369</v>
      </c>
      <c r="G566" t="s">
        <v>239</v>
      </c>
    </row>
    <row r="567" spans="1:7" x14ac:dyDescent="0.3">
      <c r="A567" t="s">
        <v>180</v>
      </c>
      <c r="B567" t="s">
        <v>249</v>
      </c>
      <c r="C567" t="s">
        <v>4</v>
      </c>
      <c r="D567" t="s">
        <v>27</v>
      </c>
      <c r="E567" t="s">
        <v>5</v>
      </c>
      <c r="F567">
        <v>9.2840000000000007</v>
      </c>
      <c r="G567" t="s">
        <v>239</v>
      </c>
    </row>
    <row r="568" spans="1:7" x14ac:dyDescent="0.3">
      <c r="A568" t="s">
        <v>180</v>
      </c>
      <c r="B568" t="s">
        <v>249</v>
      </c>
      <c r="C568" t="s">
        <v>179</v>
      </c>
      <c r="D568" t="s">
        <v>27</v>
      </c>
      <c r="E568" t="s">
        <v>5</v>
      </c>
      <c r="F568">
        <v>12.783799999999999</v>
      </c>
      <c r="G568" t="s">
        <v>239</v>
      </c>
    </row>
    <row r="569" spans="1:7" x14ac:dyDescent="0.3">
      <c r="A569" t="s">
        <v>180</v>
      </c>
      <c r="B569" t="s">
        <v>166</v>
      </c>
      <c r="C569" t="s">
        <v>176</v>
      </c>
      <c r="D569" t="s">
        <v>27</v>
      </c>
      <c r="E569" t="s">
        <v>5</v>
      </c>
      <c r="F569">
        <v>0</v>
      </c>
      <c r="G569" t="s">
        <v>239</v>
      </c>
    </row>
    <row r="570" spans="1:7" x14ac:dyDescent="0.3">
      <c r="A570" t="s">
        <v>180</v>
      </c>
      <c r="B570" t="s">
        <v>166</v>
      </c>
      <c r="C570" t="s">
        <v>177</v>
      </c>
      <c r="D570" t="s">
        <v>27</v>
      </c>
      <c r="E570" t="s">
        <v>5</v>
      </c>
      <c r="F570">
        <v>0</v>
      </c>
      <c r="G570" t="s">
        <v>239</v>
      </c>
    </row>
    <row r="571" spans="1:7" x14ac:dyDescent="0.3">
      <c r="A571" t="s">
        <v>180</v>
      </c>
      <c r="B571" t="s">
        <v>166</v>
      </c>
      <c r="C571" t="s">
        <v>178</v>
      </c>
      <c r="D571" t="s">
        <v>27</v>
      </c>
      <c r="E571" t="s">
        <v>5</v>
      </c>
      <c r="F571">
        <v>0</v>
      </c>
      <c r="G571" t="s">
        <v>239</v>
      </c>
    </row>
    <row r="572" spans="1:7" x14ac:dyDescent="0.3">
      <c r="A572" t="s">
        <v>180</v>
      </c>
      <c r="B572" t="s">
        <v>166</v>
      </c>
      <c r="C572" t="s">
        <v>0</v>
      </c>
      <c r="D572" t="s">
        <v>27</v>
      </c>
      <c r="E572" t="s">
        <v>5</v>
      </c>
      <c r="F572">
        <v>0</v>
      </c>
      <c r="G572" t="s">
        <v>239</v>
      </c>
    </row>
    <row r="573" spans="1:7" x14ac:dyDescent="0.3">
      <c r="A573" t="s">
        <v>180</v>
      </c>
      <c r="B573" t="s">
        <v>166</v>
      </c>
      <c r="C573" t="s">
        <v>1</v>
      </c>
      <c r="D573" t="s">
        <v>27</v>
      </c>
      <c r="E573" t="s">
        <v>5</v>
      </c>
      <c r="F573">
        <v>0</v>
      </c>
      <c r="G573" t="s">
        <v>239</v>
      </c>
    </row>
    <row r="574" spans="1:7" x14ac:dyDescent="0.3">
      <c r="A574" t="s">
        <v>180</v>
      </c>
      <c r="B574" t="s">
        <v>166</v>
      </c>
      <c r="C574" t="s">
        <v>2</v>
      </c>
      <c r="D574" t="s">
        <v>27</v>
      </c>
      <c r="E574" t="s">
        <v>5</v>
      </c>
      <c r="F574">
        <v>0</v>
      </c>
      <c r="G574" t="s">
        <v>239</v>
      </c>
    </row>
    <row r="575" spans="1:7" x14ac:dyDescent="0.3">
      <c r="A575" t="s">
        <v>180</v>
      </c>
      <c r="B575" t="s">
        <v>166</v>
      </c>
      <c r="C575" t="s">
        <v>3</v>
      </c>
      <c r="D575" t="s">
        <v>27</v>
      </c>
      <c r="E575" t="s">
        <v>5</v>
      </c>
      <c r="F575">
        <v>0</v>
      </c>
      <c r="G575" t="s">
        <v>239</v>
      </c>
    </row>
    <row r="576" spans="1:7" x14ac:dyDescent="0.3">
      <c r="A576" t="s">
        <v>180</v>
      </c>
      <c r="B576" t="s">
        <v>166</v>
      </c>
      <c r="C576" t="s">
        <v>4</v>
      </c>
      <c r="D576" t="s">
        <v>27</v>
      </c>
      <c r="E576" t="s">
        <v>5</v>
      </c>
      <c r="F576">
        <v>0</v>
      </c>
      <c r="G576" t="s">
        <v>239</v>
      </c>
    </row>
    <row r="577" spans="1:7" x14ac:dyDescent="0.3">
      <c r="A577" s="71" t="s">
        <v>180</v>
      </c>
      <c r="B577" s="71" t="s">
        <v>166</v>
      </c>
      <c r="C577" s="71" t="s">
        <v>179</v>
      </c>
      <c r="D577" s="71" t="s">
        <v>27</v>
      </c>
      <c r="E577" s="71" t="s">
        <v>5</v>
      </c>
      <c r="F577" s="71">
        <v>2.363013698630137E-2</v>
      </c>
      <c r="G577" s="71" t="s">
        <v>239</v>
      </c>
    </row>
    <row r="578" spans="1:7" x14ac:dyDescent="0.3">
      <c r="A578" t="s">
        <v>180</v>
      </c>
      <c r="B578" t="s">
        <v>248</v>
      </c>
      <c r="C578" t="s">
        <v>176</v>
      </c>
      <c r="D578" t="s">
        <v>27</v>
      </c>
      <c r="E578" t="s">
        <v>5</v>
      </c>
      <c r="F578">
        <v>0</v>
      </c>
      <c r="G578" t="s">
        <v>239</v>
      </c>
    </row>
    <row r="579" spans="1:7" x14ac:dyDescent="0.3">
      <c r="A579" t="s">
        <v>180</v>
      </c>
      <c r="B579" t="s">
        <v>248</v>
      </c>
      <c r="C579" t="s">
        <v>177</v>
      </c>
      <c r="D579" t="s">
        <v>27</v>
      </c>
      <c r="E579" t="s">
        <v>5</v>
      </c>
      <c r="F579">
        <v>0</v>
      </c>
      <c r="G579" t="s">
        <v>239</v>
      </c>
    </row>
    <row r="580" spans="1:7" x14ac:dyDescent="0.3">
      <c r="A580" t="s">
        <v>180</v>
      </c>
      <c r="B580" t="s">
        <v>248</v>
      </c>
      <c r="C580" t="s">
        <v>178</v>
      </c>
      <c r="D580" t="s">
        <v>27</v>
      </c>
      <c r="E580" t="s">
        <v>5</v>
      </c>
      <c r="F580">
        <v>0</v>
      </c>
      <c r="G580" t="s">
        <v>239</v>
      </c>
    </row>
    <row r="581" spans="1:7" x14ac:dyDescent="0.3">
      <c r="A581" t="s">
        <v>180</v>
      </c>
      <c r="B581" t="s">
        <v>248</v>
      </c>
      <c r="C581" t="s">
        <v>0</v>
      </c>
      <c r="D581" t="s">
        <v>27</v>
      </c>
      <c r="E581" t="s">
        <v>5</v>
      </c>
      <c r="F581">
        <v>0</v>
      </c>
      <c r="G581" t="s">
        <v>239</v>
      </c>
    </row>
    <row r="582" spans="1:7" x14ac:dyDescent="0.3">
      <c r="A582" t="s">
        <v>180</v>
      </c>
      <c r="B582" t="s">
        <v>248</v>
      </c>
      <c r="C582" t="s">
        <v>1</v>
      </c>
      <c r="D582" t="s">
        <v>27</v>
      </c>
      <c r="E582" t="s">
        <v>5</v>
      </c>
      <c r="F582">
        <v>0</v>
      </c>
      <c r="G582" t="s">
        <v>239</v>
      </c>
    </row>
    <row r="583" spans="1:7" x14ac:dyDescent="0.3">
      <c r="A583" t="s">
        <v>180</v>
      </c>
      <c r="B583" t="s">
        <v>248</v>
      </c>
      <c r="C583" t="s">
        <v>2</v>
      </c>
      <c r="D583" t="s">
        <v>27</v>
      </c>
      <c r="E583" t="s">
        <v>5</v>
      </c>
      <c r="F583">
        <v>0</v>
      </c>
      <c r="G583" t="s">
        <v>239</v>
      </c>
    </row>
    <row r="584" spans="1:7" x14ac:dyDescent="0.3">
      <c r="A584" t="s">
        <v>180</v>
      </c>
      <c r="B584" t="s">
        <v>248</v>
      </c>
      <c r="C584" t="s">
        <v>3</v>
      </c>
      <c r="D584" t="s">
        <v>27</v>
      </c>
      <c r="E584" t="s">
        <v>5</v>
      </c>
      <c r="F584">
        <v>0</v>
      </c>
      <c r="G584" t="s">
        <v>239</v>
      </c>
    </row>
    <row r="585" spans="1:7" x14ac:dyDescent="0.3">
      <c r="A585" t="s">
        <v>180</v>
      </c>
      <c r="B585" t="s">
        <v>248</v>
      </c>
      <c r="C585" t="s">
        <v>4</v>
      </c>
      <c r="D585" t="s">
        <v>27</v>
      </c>
      <c r="E585" t="s">
        <v>5</v>
      </c>
      <c r="F585">
        <v>0</v>
      </c>
      <c r="G585" t="s">
        <v>239</v>
      </c>
    </row>
    <row r="586" spans="1:7" x14ac:dyDescent="0.3">
      <c r="A586" t="s">
        <v>180</v>
      </c>
      <c r="B586" t="s">
        <v>248</v>
      </c>
      <c r="C586" t="s">
        <v>179</v>
      </c>
      <c r="D586" t="s">
        <v>27</v>
      </c>
      <c r="E586" t="s">
        <v>5</v>
      </c>
      <c r="F586">
        <v>0</v>
      </c>
      <c r="G586" t="s">
        <v>239</v>
      </c>
    </row>
    <row r="587" spans="1:7" x14ac:dyDescent="0.3">
      <c r="A587" t="s">
        <v>180</v>
      </c>
      <c r="B587" t="s">
        <v>247</v>
      </c>
      <c r="C587" t="s">
        <v>176</v>
      </c>
      <c r="D587" t="s">
        <v>27</v>
      </c>
      <c r="E587" t="s">
        <v>5</v>
      </c>
      <c r="F587">
        <v>0.35649999999999998</v>
      </c>
      <c r="G587" t="s">
        <v>239</v>
      </c>
    </row>
    <row r="588" spans="1:7" x14ac:dyDescent="0.3">
      <c r="A588" t="s">
        <v>180</v>
      </c>
      <c r="B588" t="s">
        <v>247</v>
      </c>
      <c r="C588" t="s">
        <v>177</v>
      </c>
      <c r="D588" t="s">
        <v>27</v>
      </c>
      <c r="E588" t="s">
        <v>5</v>
      </c>
      <c r="F588">
        <v>0.36630000000000001</v>
      </c>
      <c r="G588" t="s">
        <v>239</v>
      </c>
    </row>
    <row r="589" spans="1:7" x14ac:dyDescent="0.3">
      <c r="A589" t="s">
        <v>180</v>
      </c>
      <c r="B589" t="s">
        <v>247</v>
      </c>
      <c r="C589" t="s">
        <v>178</v>
      </c>
      <c r="D589" t="s">
        <v>27</v>
      </c>
      <c r="E589" t="s">
        <v>5</v>
      </c>
      <c r="F589">
        <v>0.55720000000000003</v>
      </c>
      <c r="G589" t="s">
        <v>239</v>
      </c>
    </row>
    <row r="590" spans="1:7" x14ac:dyDescent="0.3">
      <c r="A590" t="s">
        <v>180</v>
      </c>
      <c r="B590" t="s">
        <v>247</v>
      </c>
      <c r="C590" t="s">
        <v>0</v>
      </c>
      <c r="D590" t="s">
        <v>27</v>
      </c>
      <c r="E590" t="s">
        <v>5</v>
      </c>
      <c r="F590">
        <v>0.88519999999999999</v>
      </c>
      <c r="G590" t="s">
        <v>239</v>
      </c>
    </row>
    <row r="591" spans="1:7" x14ac:dyDescent="0.3">
      <c r="A591" t="s">
        <v>180</v>
      </c>
      <c r="B591" t="s">
        <v>247</v>
      </c>
      <c r="C591" t="s">
        <v>1</v>
      </c>
      <c r="D591" t="s">
        <v>27</v>
      </c>
      <c r="E591" t="s">
        <v>5</v>
      </c>
      <c r="F591">
        <v>1.0431999999999999</v>
      </c>
      <c r="G591" t="s">
        <v>239</v>
      </c>
    </row>
    <row r="592" spans="1:7" x14ac:dyDescent="0.3">
      <c r="A592" t="s">
        <v>180</v>
      </c>
      <c r="B592" t="s">
        <v>247</v>
      </c>
      <c r="C592" t="s">
        <v>2</v>
      </c>
      <c r="D592" t="s">
        <v>27</v>
      </c>
      <c r="E592" t="s">
        <v>5</v>
      </c>
      <c r="F592">
        <v>1.2295</v>
      </c>
      <c r="G592" t="s">
        <v>239</v>
      </c>
    </row>
    <row r="593" spans="1:7" x14ac:dyDescent="0.3">
      <c r="A593" t="s">
        <v>180</v>
      </c>
      <c r="B593" t="s">
        <v>247</v>
      </c>
      <c r="C593" t="s">
        <v>3</v>
      </c>
      <c r="D593" t="s">
        <v>27</v>
      </c>
      <c r="E593" t="s">
        <v>5</v>
      </c>
      <c r="F593">
        <v>1.7245999999999999</v>
      </c>
      <c r="G593" t="s">
        <v>239</v>
      </c>
    </row>
    <row r="594" spans="1:7" x14ac:dyDescent="0.3">
      <c r="A594" t="s">
        <v>180</v>
      </c>
      <c r="B594" t="s">
        <v>247</v>
      </c>
      <c r="C594" t="s">
        <v>4</v>
      </c>
      <c r="D594" t="s">
        <v>27</v>
      </c>
      <c r="E594" t="s">
        <v>5</v>
      </c>
      <c r="F594">
        <v>1.8462000000000001</v>
      </c>
      <c r="G594" t="s">
        <v>239</v>
      </c>
    </row>
    <row r="595" spans="1:7" x14ac:dyDescent="0.3">
      <c r="A595" t="s">
        <v>180</v>
      </c>
      <c r="B595" t="s">
        <v>247</v>
      </c>
      <c r="C595" t="s">
        <v>179</v>
      </c>
      <c r="D595" t="s">
        <v>27</v>
      </c>
      <c r="E595" t="s">
        <v>5</v>
      </c>
      <c r="F595">
        <v>2.2845</v>
      </c>
      <c r="G595" t="s">
        <v>239</v>
      </c>
    </row>
    <row r="596" spans="1:7" x14ac:dyDescent="0.3">
      <c r="A596" t="s">
        <v>180</v>
      </c>
      <c r="B596" t="s">
        <v>246</v>
      </c>
      <c r="C596" t="s">
        <v>176</v>
      </c>
      <c r="D596" t="s">
        <v>27</v>
      </c>
      <c r="E596" t="s">
        <v>5</v>
      </c>
      <c r="F596">
        <v>0.14990000000000001</v>
      </c>
      <c r="G596" t="s">
        <v>239</v>
      </c>
    </row>
    <row r="597" spans="1:7" x14ac:dyDescent="0.3">
      <c r="A597" t="s">
        <v>180</v>
      </c>
      <c r="B597" t="s">
        <v>246</v>
      </c>
      <c r="C597" t="s">
        <v>177</v>
      </c>
      <c r="D597" t="s">
        <v>27</v>
      </c>
      <c r="E597" t="s">
        <v>5</v>
      </c>
      <c r="F597">
        <v>0.3</v>
      </c>
      <c r="G597" t="s">
        <v>239</v>
      </c>
    </row>
    <row r="598" spans="1:7" x14ac:dyDescent="0.3">
      <c r="A598" t="s">
        <v>180</v>
      </c>
      <c r="B598" t="s">
        <v>246</v>
      </c>
      <c r="C598" t="s">
        <v>178</v>
      </c>
      <c r="D598" t="s">
        <v>27</v>
      </c>
      <c r="E598" t="s">
        <v>5</v>
      </c>
      <c r="F598">
        <v>0.54610000000000003</v>
      </c>
      <c r="G598" t="s">
        <v>239</v>
      </c>
    </row>
    <row r="599" spans="1:7" x14ac:dyDescent="0.3">
      <c r="A599" t="s">
        <v>180</v>
      </c>
      <c r="B599" t="s">
        <v>246</v>
      </c>
      <c r="C599" t="s">
        <v>0</v>
      </c>
      <c r="D599" t="s">
        <v>27</v>
      </c>
      <c r="E599" t="s">
        <v>5</v>
      </c>
      <c r="F599">
        <v>0.63049999999999995</v>
      </c>
      <c r="G599" t="s">
        <v>239</v>
      </c>
    </row>
    <row r="600" spans="1:7" x14ac:dyDescent="0.3">
      <c r="A600" t="s">
        <v>180</v>
      </c>
      <c r="B600" t="s">
        <v>246</v>
      </c>
      <c r="C600" t="s">
        <v>1</v>
      </c>
      <c r="D600" t="s">
        <v>27</v>
      </c>
      <c r="E600" t="s">
        <v>5</v>
      </c>
      <c r="F600">
        <v>1.018</v>
      </c>
      <c r="G600" t="s">
        <v>239</v>
      </c>
    </row>
    <row r="601" spans="1:7" x14ac:dyDescent="0.3">
      <c r="A601" t="s">
        <v>180</v>
      </c>
      <c r="B601" t="s">
        <v>246</v>
      </c>
      <c r="C601" t="s">
        <v>2</v>
      </c>
      <c r="D601" t="s">
        <v>27</v>
      </c>
      <c r="E601" t="s">
        <v>5</v>
      </c>
      <c r="F601">
        <v>1.1721999999999999</v>
      </c>
      <c r="G601" t="s">
        <v>239</v>
      </c>
    </row>
    <row r="602" spans="1:7" x14ac:dyDescent="0.3">
      <c r="A602" t="s">
        <v>180</v>
      </c>
      <c r="B602" t="s">
        <v>246</v>
      </c>
      <c r="C602" t="s">
        <v>3</v>
      </c>
      <c r="D602" t="s">
        <v>27</v>
      </c>
      <c r="E602" t="s">
        <v>5</v>
      </c>
      <c r="F602">
        <v>1.8005</v>
      </c>
      <c r="G602" t="s">
        <v>239</v>
      </c>
    </row>
    <row r="603" spans="1:7" x14ac:dyDescent="0.3">
      <c r="A603" t="s">
        <v>180</v>
      </c>
      <c r="B603" t="s">
        <v>246</v>
      </c>
      <c r="C603" t="s">
        <v>4</v>
      </c>
      <c r="D603" t="s">
        <v>27</v>
      </c>
      <c r="E603" t="s">
        <v>5</v>
      </c>
      <c r="F603">
        <v>2.2972999999999999</v>
      </c>
      <c r="G603" t="s">
        <v>239</v>
      </c>
    </row>
    <row r="604" spans="1:7" x14ac:dyDescent="0.3">
      <c r="A604" t="s">
        <v>180</v>
      </c>
      <c r="B604" t="s">
        <v>246</v>
      </c>
      <c r="C604" t="s">
        <v>179</v>
      </c>
      <c r="D604" t="s">
        <v>27</v>
      </c>
      <c r="E604" t="s">
        <v>5</v>
      </c>
      <c r="F604">
        <v>3</v>
      </c>
      <c r="G604" t="s">
        <v>239</v>
      </c>
    </row>
    <row r="605" spans="1:7" x14ac:dyDescent="0.3">
      <c r="A605" t="s">
        <v>180</v>
      </c>
      <c r="B605" t="s">
        <v>245</v>
      </c>
      <c r="C605" t="s">
        <v>176</v>
      </c>
      <c r="D605" t="s">
        <v>27</v>
      </c>
      <c r="E605" t="s">
        <v>5</v>
      </c>
      <c r="F605">
        <v>0</v>
      </c>
      <c r="G605" t="s">
        <v>239</v>
      </c>
    </row>
    <row r="606" spans="1:7" x14ac:dyDescent="0.3">
      <c r="A606" t="s">
        <v>180</v>
      </c>
      <c r="B606" t="s">
        <v>245</v>
      </c>
      <c r="C606" t="s">
        <v>177</v>
      </c>
      <c r="D606" t="s">
        <v>27</v>
      </c>
      <c r="E606" t="s">
        <v>5</v>
      </c>
      <c r="F606">
        <v>0</v>
      </c>
      <c r="G606" t="s">
        <v>239</v>
      </c>
    </row>
    <row r="607" spans="1:7" x14ac:dyDescent="0.3">
      <c r="A607" t="s">
        <v>180</v>
      </c>
      <c r="B607" t="s">
        <v>245</v>
      </c>
      <c r="C607" t="s">
        <v>178</v>
      </c>
      <c r="D607" t="s">
        <v>27</v>
      </c>
      <c r="E607" t="s">
        <v>5</v>
      </c>
      <c r="F607">
        <v>0</v>
      </c>
      <c r="G607" t="s">
        <v>239</v>
      </c>
    </row>
    <row r="608" spans="1:7" x14ac:dyDescent="0.3">
      <c r="A608" t="s">
        <v>180</v>
      </c>
      <c r="B608" t="s">
        <v>245</v>
      </c>
      <c r="C608" t="s">
        <v>0</v>
      </c>
      <c r="D608" t="s">
        <v>27</v>
      </c>
      <c r="E608" t="s">
        <v>5</v>
      </c>
      <c r="F608">
        <v>0</v>
      </c>
      <c r="G608" t="s">
        <v>239</v>
      </c>
    </row>
    <row r="609" spans="1:7" x14ac:dyDescent="0.3">
      <c r="A609" t="s">
        <v>180</v>
      </c>
      <c r="B609" t="s">
        <v>245</v>
      </c>
      <c r="C609" t="s">
        <v>1</v>
      </c>
      <c r="D609" t="s">
        <v>27</v>
      </c>
      <c r="E609" t="s">
        <v>5</v>
      </c>
      <c r="F609">
        <v>0</v>
      </c>
      <c r="G609" t="s">
        <v>239</v>
      </c>
    </row>
    <row r="610" spans="1:7" x14ac:dyDescent="0.3">
      <c r="A610" t="s">
        <v>180</v>
      </c>
      <c r="B610" t="s">
        <v>245</v>
      </c>
      <c r="C610" t="s">
        <v>2</v>
      </c>
      <c r="D610" t="s">
        <v>27</v>
      </c>
      <c r="E610" t="s">
        <v>5</v>
      </c>
      <c r="F610">
        <v>0</v>
      </c>
      <c r="G610" t="s">
        <v>239</v>
      </c>
    </row>
    <row r="611" spans="1:7" x14ac:dyDescent="0.3">
      <c r="A611" t="s">
        <v>180</v>
      </c>
      <c r="B611" t="s">
        <v>245</v>
      </c>
      <c r="C611" t="s">
        <v>3</v>
      </c>
      <c r="D611" t="s">
        <v>27</v>
      </c>
      <c r="E611" t="s">
        <v>5</v>
      </c>
      <c r="F611">
        <v>0</v>
      </c>
      <c r="G611" t="s">
        <v>239</v>
      </c>
    </row>
    <row r="612" spans="1:7" x14ac:dyDescent="0.3">
      <c r="A612" t="s">
        <v>180</v>
      </c>
      <c r="B612" t="s">
        <v>245</v>
      </c>
      <c r="C612" t="s">
        <v>4</v>
      </c>
      <c r="D612" t="s">
        <v>27</v>
      </c>
      <c r="E612" t="s">
        <v>5</v>
      </c>
      <c r="F612">
        <v>0</v>
      </c>
      <c r="G612" t="s">
        <v>239</v>
      </c>
    </row>
    <row r="613" spans="1:7" x14ac:dyDescent="0.3">
      <c r="A613" t="s">
        <v>180</v>
      </c>
      <c r="B613" t="s">
        <v>245</v>
      </c>
      <c r="C613" t="s">
        <v>179</v>
      </c>
      <c r="D613" t="s">
        <v>27</v>
      </c>
      <c r="E613" t="s">
        <v>5</v>
      </c>
      <c r="F613">
        <v>0</v>
      </c>
      <c r="G613" t="s">
        <v>239</v>
      </c>
    </row>
    <row r="614" spans="1:7" x14ac:dyDescent="0.3">
      <c r="A614" t="s">
        <v>180</v>
      </c>
      <c r="B614" t="s">
        <v>49</v>
      </c>
      <c r="C614" t="s">
        <v>176</v>
      </c>
      <c r="D614" t="s">
        <v>27</v>
      </c>
      <c r="E614" t="s">
        <v>5</v>
      </c>
      <c r="F614">
        <v>0</v>
      </c>
      <c r="G614" t="s">
        <v>239</v>
      </c>
    </row>
    <row r="615" spans="1:7" x14ac:dyDescent="0.3">
      <c r="A615" t="s">
        <v>180</v>
      </c>
      <c r="B615" t="s">
        <v>49</v>
      </c>
      <c r="C615" t="s">
        <v>177</v>
      </c>
      <c r="D615" t="s">
        <v>27</v>
      </c>
      <c r="E615" t="s">
        <v>5</v>
      </c>
      <c r="F615">
        <v>0</v>
      </c>
      <c r="G615" t="s">
        <v>239</v>
      </c>
    </row>
    <row r="616" spans="1:7" x14ac:dyDescent="0.3">
      <c r="A616" t="s">
        <v>180</v>
      </c>
      <c r="B616" t="s">
        <v>49</v>
      </c>
      <c r="C616" t="s">
        <v>178</v>
      </c>
      <c r="D616" t="s">
        <v>27</v>
      </c>
      <c r="E616" t="s">
        <v>5</v>
      </c>
      <c r="F616">
        <v>0</v>
      </c>
      <c r="G616" t="s">
        <v>239</v>
      </c>
    </row>
    <row r="617" spans="1:7" x14ac:dyDescent="0.3">
      <c r="A617" t="s">
        <v>180</v>
      </c>
      <c r="B617" t="s">
        <v>49</v>
      </c>
      <c r="C617" t="s">
        <v>0</v>
      </c>
      <c r="D617" t="s">
        <v>27</v>
      </c>
      <c r="E617" t="s">
        <v>5</v>
      </c>
      <c r="F617">
        <v>0</v>
      </c>
      <c r="G617" t="s">
        <v>239</v>
      </c>
    </row>
    <row r="618" spans="1:7" x14ac:dyDescent="0.3">
      <c r="A618" t="s">
        <v>180</v>
      </c>
      <c r="B618" t="s">
        <v>49</v>
      </c>
      <c r="C618" t="s">
        <v>1</v>
      </c>
      <c r="D618" t="s">
        <v>27</v>
      </c>
      <c r="E618" t="s">
        <v>5</v>
      </c>
      <c r="F618">
        <v>0</v>
      </c>
      <c r="G618" t="s">
        <v>239</v>
      </c>
    </row>
    <row r="619" spans="1:7" x14ac:dyDescent="0.3">
      <c r="A619" t="s">
        <v>180</v>
      </c>
      <c r="B619" t="s">
        <v>49</v>
      </c>
      <c r="C619" t="s">
        <v>2</v>
      </c>
      <c r="D619" t="s">
        <v>27</v>
      </c>
      <c r="E619" t="s">
        <v>5</v>
      </c>
      <c r="F619">
        <v>0</v>
      </c>
      <c r="G619" t="s">
        <v>239</v>
      </c>
    </row>
    <row r="620" spans="1:7" x14ac:dyDescent="0.3">
      <c r="A620" t="s">
        <v>180</v>
      </c>
      <c r="B620" t="s">
        <v>49</v>
      </c>
      <c r="C620" t="s">
        <v>3</v>
      </c>
      <c r="D620" t="s">
        <v>27</v>
      </c>
      <c r="E620" t="s">
        <v>5</v>
      </c>
      <c r="F620">
        <v>0</v>
      </c>
      <c r="G620" t="s">
        <v>239</v>
      </c>
    </row>
    <row r="621" spans="1:7" x14ac:dyDescent="0.3">
      <c r="A621" t="s">
        <v>180</v>
      </c>
      <c r="B621" t="s">
        <v>49</v>
      </c>
      <c r="C621" t="s">
        <v>4</v>
      </c>
      <c r="D621" t="s">
        <v>27</v>
      </c>
      <c r="E621" t="s">
        <v>5</v>
      </c>
      <c r="F621">
        <v>0</v>
      </c>
      <c r="G621" t="s">
        <v>239</v>
      </c>
    </row>
    <row r="622" spans="1:7" x14ac:dyDescent="0.3">
      <c r="A622" s="71" t="s">
        <v>180</v>
      </c>
      <c r="B622" s="71" t="s">
        <v>49</v>
      </c>
      <c r="C622" s="71" t="s">
        <v>179</v>
      </c>
      <c r="D622" s="71" t="s">
        <v>27</v>
      </c>
      <c r="E622" s="71" t="s">
        <v>5</v>
      </c>
      <c r="F622" s="71">
        <v>9.5899999999999999E-2</v>
      </c>
      <c r="G622" s="71" t="s">
        <v>239</v>
      </c>
    </row>
    <row r="623" spans="1:7" x14ac:dyDescent="0.3">
      <c r="A623" t="s">
        <v>180</v>
      </c>
      <c r="B623" t="s">
        <v>138</v>
      </c>
      <c r="C623" t="s">
        <v>176</v>
      </c>
      <c r="D623" t="s">
        <v>27</v>
      </c>
      <c r="E623" t="s">
        <v>5</v>
      </c>
      <c r="F623">
        <v>0.45090000000000002</v>
      </c>
      <c r="G623" t="s">
        <v>239</v>
      </c>
    </row>
    <row r="624" spans="1:7" x14ac:dyDescent="0.3">
      <c r="A624" t="s">
        <v>180</v>
      </c>
      <c r="B624" t="s">
        <v>138</v>
      </c>
      <c r="C624" t="s">
        <v>177</v>
      </c>
      <c r="D624" t="s">
        <v>27</v>
      </c>
      <c r="E624" t="s">
        <v>5</v>
      </c>
      <c r="F624">
        <v>0.65600000000000003</v>
      </c>
      <c r="G624" t="s">
        <v>239</v>
      </c>
    </row>
    <row r="625" spans="1:7" x14ac:dyDescent="0.3">
      <c r="A625" t="s">
        <v>180</v>
      </c>
      <c r="B625" t="s">
        <v>138</v>
      </c>
      <c r="C625" t="s">
        <v>178</v>
      </c>
      <c r="D625" t="s">
        <v>27</v>
      </c>
      <c r="E625" t="s">
        <v>5</v>
      </c>
      <c r="F625">
        <v>1.7439</v>
      </c>
      <c r="G625" t="s">
        <v>239</v>
      </c>
    </row>
    <row r="626" spans="1:7" x14ac:dyDescent="0.3">
      <c r="A626" t="s">
        <v>180</v>
      </c>
      <c r="B626" t="s">
        <v>138</v>
      </c>
      <c r="C626" t="s">
        <v>0</v>
      </c>
      <c r="D626" t="s">
        <v>27</v>
      </c>
      <c r="E626" t="s">
        <v>5</v>
      </c>
      <c r="F626">
        <v>3.5895999999999999</v>
      </c>
      <c r="G626" t="s">
        <v>239</v>
      </c>
    </row>
    <row r="627" spans="1:7" x14ac:dyDescent="0.3">
      <c r="A627" t="s">
        <v>180</v>
      </c>
      <c r="B627" t="s">
        <v>138</v>
      </c>
      <c r="C627" t="s">
        <v>1</v>
      </c>
      <c r="D627" t="s">
        <v>27</v>
      </c>
      <c r="E627" t="s">
        <v>5</v>
      </c>
      <c r="F627">
        <v>3.7170000000000001</v>
      </c>
      <c r="G627" t="s">
        <v>239</v>
      </c>
    </row>
    <row r="628" spans="1:7" x14ac:dyDescent="0.3">
      <c r="A628" t="s">
        <v>180</v>
      </c>
      <c r="B628" t="s">
        <v>138</v>
      </c>
      <c r="C628" t="s">
        <v>2</v>
      </c>
      <c r="D628" t="s">
        <v>27</v>
      </c>
      <c r="E628" t="s">
        <v>5</v>
      </c>
      <c r="F628">
        <v>3.9704999999999999</v>
      </c>
      <c r="G628" t="s">
        <v>239</v>
      </c>
    </row>
    <row r="629" spans="1:7" x14ac:dyDescent="0.3">
      <c r="A629" t="s">
        <v>180</v>
      </c>
      <c r="B629" t="s">
        <v>138</v>
      </c>
      <c r="C629" t="s">
        <v>3</v>
      </c>
      <c r="D629" t="s">
        <v>27</v>
      </c>
      <c r="E629" t="s">
        <v>5</v>
      </c>
      <c r="F629">
        <v>4.7462999999999997</v>
      </c>
      <c r="G629" t="s">
        <v>239</v>
      </c>
    </row>
    <row r="630" spans="1:7" x14ac:dyDescent="0.3">
      <c r="A630" t="s">
        <v>180</v>
      </c>
      <c r="B630" t="s">
        <v>138</v>
      </c>
      <c r="C630" t="s">
        <v>4</v>
      </c>
      <c r="D630" t="s">
        <v>27</v>
      </c>
      <c r="E630" t="s">
        <v>5</v>
      </c>
      <c r="F630">
        <v>4.6436000000000002</v>
      </c>
      <c r="G630" t="s">
        <v>239</v>
      </c>
    </row>
    <row r="631" spans="1:7" x14ac:dyDescent="0.3">
      <c r="A631" t="s">
        <v>180</v>
      </c>
      <c r="B631" t="s">
        <v>138</v>
      </c>
      <c r="C631" t="s">
        <v>179</v>
      </c>
      <c r="D631" t="s">
        <v>27</v>
      </c>
      <c r="E631" t="s">
        <v>5</v>
      </c>
      <c r="F631">
        <v>7.4107000000000003</v>
      </c>
      <c r="G631" t="s">
        <v>239</v>
      </c>
    </row>
    <row r="632" spans="1:7" x14ac:dyDescent="0.3">
      <c r="A632" t="s">
        <v>180</v>
      </c>
      <c r="B632" t="s">
        <v>32</v>
      </c>
      <c r="C632" t="s">
        <v>176</v>
      </c>
      <c r="D632" t="s">
        <v>27</v>
      </c>
      <c r="E632" t="s">
        <v>5</v>
      </c>
      <c r="F632">
        <v>4.7309999999999999</v>
      </c>
      <c r="G632" t="s">
        <v>239</v>
      </c>
    </row>
    <row r="633" spans="1:7" x14ac:dyDescent="0.3">
      <c r="A633" t="s">
        <v>180</v>
      </c>
      <c r="B633" t="s">
        <v>32</v>
      </c>
      <c r="C633" t="s">
        <v>177</v>
      </c>
      <c r="D633" t="s">
        <v>27</v>
      </c>
      <c r="E633" t="s">
        <v>5</v>
      </c>
      <c r="F633">
        <v>6.6695000000000002</v>
      </c>
      <c r="G633" t="s">
        <v>239</v>
      </c>
    </row>
    <row r="634" spans="1:7" x14ac:dyDescent="0.3">
      <c r="A634" t="s">
        <v>180</v>
      </c>
      <c r="B634" t="s">
        <v>32</v>
      </c>
      <c r="C634" t="s">
        <v>178</v>
      </c>
      <c r="D634" t="s">
        <v>27</v>
      </c>
      <c r="E634" t="s">
        <v>5</v>
      </c>
      <c r="F634">
        <v>8.5768000000000004</v>
      </c>
      <c r="G634" t="s">
        <v>239</v>
      </c>
    </row>
    <row r="635" spans="1:7" x14ac:dyDescent="0.3">
      <c r="A635" t="s">
        <v>180</v>
      </c>
      <c r="B635" t="s">
        <v>32</v>
      </c>
      <c r="C635" t="s">
        <v>0</v>
      </c>
      <c r="D635" t="s">
        <v>27</v>
      </c>
      <c r="E635" t="s">
        <v>5</v>
      </c>
      <c r="F635">
        <v>13.3787</v>
      </c>
      <c r="G635" t="s">
        <v>239</v>
      </c>
    </row>
    <row r="636" spans="1:7" x14ac:dyDescent="0.3">
      <c r="A636" t="s">
        <v>180</v>
      </c>
      <c r="B636" t="s">
        <v>32</v>
      </c>
      <c r="C636" t="s">
        <v>1</v>
      </c>
      <c r="D636" t="s">
        <v>27</v>
      </c>
      <c r="E636" t="s">
        <v>5</v>
      </c>
      <c r="F636">
        <v>17.463100000000001</v>
      </c>
      <c r="G636" t="s">
        <v>239</v>
      </c>
    </row>
    <row r="637" spans="1:7" x14ac:dyDescent="0.3">
      <c r="A637" t="s">
        <v>180</v>
      </c>
      <c r="B637" t="s">
        <v>32</v>
      </c>
      <c r="C637" t="s">
        <v>2</v>
      </c>
      <c r="D637" t="s">
        <v>27</v>
      </c>
      <c r="E637" t="s">
        <v>5</v>
      </c>
      <c r="F637">
        <v>22.124300000000002</v>
      </c>
      <c r="G637" t="s">
        <v>239</v>
      </c>
    </row>
    <row r="638" spans="1:7" x14ac:dyDescent="0.3">
      <c r="A638" t="s">
        <v>180</v>
      </c>
      <c r="B638" t="s">
        <v>32</v>
      </c>
      <c r="C638" t="s">
        <v>3</v>
      </c>
      <c r="D638" t="s">
        <v>27</v>
      </c>
      <c r="E638" t="s">
        <v>5</v>
      </c>
      <c r="F638">
        <v>34.0366</v>
      </c>
      <c r="G638" t="s">
        <v>239</v>
      </c>
    </row>
    <row r="639" spans="1:7" x14ac:dyDescent="0.3">
      <c r="A639" t="s">
        <v>180</v>
      </c>
      <c r="B639" t="s">
        <v>32</v>
      </c>
      <c r="C639" t="s">
        <v>4</v>
      </c>
      <c r="D639" t="s">
        <v>27</v>
      </c>
      <c r="E639" t="s">
        <v>5</v>
      </c>
      <c r="F639">
        <v>35.816800000000001</v>
      </c>
      <c r="G639" t="s">
        <v>239</v>
      </c>
    </row>
    <row r="640" spans="1:7" x14ac:dyDescent="0.3">
      <c r="A640" t="s">
        <v>180</v>
      </c>
      <c r="B640" t="s">
        <v>32</v>
      </c>
      <c r="C640" t="s">
        <v>179</v>
      </c>
      <c r="D640" t="s">
        <v>27</v>
      </c>
      <c r="E640" t="s">
        <v>5</v>
      </c>
      <c r="F640">
        <v>35.118400000000001</v>
      </c>
      <c r="G640" t="s">
        <v>239</v>
      </c>
    </row>
    <row r="641" spans="1:7" x14ac:dyDescent="0.3">
      <c r="A641" t="s">
        <v>180</v>
      </c>
      <c r="B641" t="s">
        <v>130</v>
      </c>
      <c r="C641" t="s">
        <v>176</v>
      </c>
      <c r="D641" t="s">
        <v>27</v>
      </c>
      <c r="E641" t="s">
        <v>5</v>
      </c>
      <c r="F641">
        <v>0.76919999999999999</v>
      </c>
      <c r="G641" t="s">
        <v>239</v>
      </c>
    </row>
    <row r="642" spans="1:7" x14ac:dyDescent="0.3">
      <c r="A642" t="s">
        <v>180</v>
      </c>
      <c r="B642" t="s">
        <v>130</v>
      </c>
      <c r="C642" t="s">
        <v>177</v>
      </c>
      <c r="D642" t="s">
        <v>27</v>
      </c>
      <c r="E642" t="s">
        <v>5</v>
      </c>
      <c r="F642">
        <v>0.83260000000000001</v>
      </c>
      <c r="G642" t="s">
        <v>239</v>
      </c>
    </row>
    <row r="643" spans="1:7" x14ac:dyDescent="0.3">
      <c r="A643" t="s">
        <v>180</v>
      </c>
      <c r="B643" t="s">
        <v>130</v>
      </c>
      <c r="C643" t="s">
        <v>178</v>
      </c>
      <c r="D643" t="s">
        <v>27</v>
      </c>
      <c r="E643" t="s">
        <v>5</v>
      </c>
      <c r="F643">
        <v>1.1879</v>
      </c>
      <c r="G643" t="s">
        <v>239</v>
      </c>
    </row>
    <row r="644" spans="1:7" x14ac:dyDescent="0.3">
      <c r="A644" t="s">
        <v>180</v>
      </c>
      <c r="B644" t="s">
        <v>130</v>
      </c>
      <c r="C644" t="s">
        <v>0</v>
      </c>
      <c r="D644" t="s">
        <v>27</v>
      </c>
      <c r="E644" t="s">
        <v>5</v>
      </c>
      <c r="F644">
        <v>1.4573</v>
      </c>
      <c r="G644" t="s">
        <v>239</v>
      </c>
    </row>
    <row r="645" spans="1:7" x14ac:dyDescent="0.3">
      <c r="A645" t="s">
        <v>180</v>
      </c>
      <c r="B645" t="s">
        <v>130</v>
      </c>
      <c r="C645" t="s">
        <v>1</v>
      </c>
      <c r="D645" t="s">
        <v>27</v>
      </c>
      <c r="E645" t="s">
        <v>5</v>
      </c>
      <c r="F645">
        <v>1.9302999999999999</v>
      </c>
      <c r="G645" t="s">
        <v>239</v>
      </c>
    </row>
    <row r="646" spans="1:7" x14ac:dyDescent="0.3">
      <c r="A646" t="s">
        <v>180</v>
      </c>
      <c r="B646" t="s">
        <v>130</v>
      </c>
      <c r="C646" t="s">
        <v>2</v>
      </c>
      <c r="D646" t="s">
        <v>27</v>
      </c>
      <c r="E646" t="s">
        <v>5</v>
      </c>
      <c r="F646">
        <v>1.6420999999999999</v>
      </c>
      <c r="G646" t="s">
        <v>239</v>
      </c>
    </row>
    <row r="647" spans="1:7" x14ac:dyDescent="0.3">
      <c r="A647" t="s">
        <v>180</v>
      </c>
      <c r="B647" t="s">
        <v>130</v>
      </c>
      <c r="C647" t="s">
        <v>3</v>
      </c>
      <c r="D647" t="s">
        <v>27</v>
      </c>
      <c r="E647" t="s">
        <v>5</v>
      </c>
      <c r="F647">
        <v>2.4649000000000001</v>
      </c>
      <c r="G647" t="s">
        <v>239</v>
      </c>
    </row>
    <row r="648" spans="1:7" x14ac:dyDescent="0.3">
      <c r="A648" t="s">
        <v>180</v>
      </c>
      <c r="B648" t="s">
        <v>130</v>
      </c>
      <c r="C648" t="s">
        <v>4</v>
      </c>
      <c r="D648" t="s">
        <v>27</v>
      </c>
      <c r="E648" t="s">
        <v>5</v>
      </c>
      <c r="F648">
        <v>1.8170999999999999</v>
      </c>
      <c r="G648" t="s">
        <v>239</v>
      </c>
    </row>
    <row r="649" spans="1:7" x14ac:dyDescent="0.3">
      <c r="A649" t="s">
        <v>180</v>
      </c>
      <c r="B649" t="s">
        <v>130</v>
      </c>
      <c r="C649" t="s">
        <v>179</v>
      </c>
      <c r="D649" t="s">
        <v>27</v>
      </c>
      <c r="E649" t="s">
        <v>5</v>
      </c>
      <c r="F649">
        <v>2.0253000000000001</v>
      </c>
      <c r="G649" t="s">
        <v>239</v>
      </c>
    </row>
    <row r="650" spans="1:7" x14ac:dyDescent="0.3">
      <c r="A650" t="s">
        <v>180</v>
      </c>
      <c r="B650" t="s">
        <v>244</v>
      </c>
      <c r="C650" t="s">
        <v>1</v>
      </c>
      <c r="D650" t="s">
        <v>27</v>
      </c>
      <c r="E650" t="s">
        <v>5</v>
      </c>
      <c r="F650">
        <v>0</v>
      </c>
      <c r="G650" t="s">
        <v>239</v>
      </c>
    </row>
    <row r="651" spans="1:7" x14ac:dyDescent="0.3">
      <c r="A651" t="s">
        <v>180</v>
      </c>
      <c r="B651" t="s">
        <v>244</v>
      </c>
      <c r="C651" t="s">
        <v>2</v>
      </c>
      <c r="D651" t="s">
        <v>27</v>
      </c>
      <c r="E651" t="s">
        <v>5</v>
      </c>
      <c r="F651">
        <v>0</v>
      </c>
      <c r="G651" t="s">
        <v>239</v>
      </c>
    </row>
    <row r="652" spans="1:7" x14ac:dyDescent="0.3">
      <c r="A652" t="s">
        <v>180</v>
      </c>
      <c r="B652" t="s">
        <v>244</v>
      </c>
      <c r="C652" t="s">
        <v>3</v>
      </c>
      <c r="D652" t="s">
        <v>27</v>
      </c>
      <c r="E652" t="s">
        <v>5</v>
      </c>
      <c r="F652">
        <v>0</v>
      </c>
      <c r="G652" t="s">
        <v>239</v>
      </c>
    </row>
    <row r="653" spans="1:7" x14ac:dyDescent="0.3">
      <c r="A653" t="s">
        <v>180</v>
      </c>
      <c r="B653" t="s">
        <v>244</v>
      </c>
      <c r="C653" t="s">
        <v>4</v>
      </c>
      <c r="D653" t="s">
        <v>27</v>
      </c>
      <c r="E653" t="s">
        <v>5</v>
      </c>
      <c r="F653">
        <v>0</v>
      </c>
      <c r="G653" t="s">
        <v>239</v>
      </c>
    </row>
    <row r="654" spans="1:7" x14ac:dyDescent="0.3">
      <c r="A654" t="s">
        <v>180</v>
      </c>
      <c r="B654" t="s">
        <v>244</v>
      </c>
      <c r="C654" t="s">
        <v>179</v>
      </c>
      <c r="D654" t="s">
        <v>27</v>
      </c>
      <c r="E654" t="s">
        <v>5</v>
      </c>
      <c r="F654">
        <v>0</v>
      </c>
      <c r="G654" t="s">
        <v>239</v>
      </c>
    </row>
    <row r="655" spans="1:7" x14ac:dyDescent="0.3">
      <c r="A655" t="s">
        <v>180</v>
      </c>
      <c r="B655" t="s">
        <v>243</v>
      </c>
      <c r="C655" t="s">
        <v>0</v>
      </c>
      <c r="D655" t="s">
        <v>27</v>
      </c>
      <c r="E655" t="s">
        <v>5</v>
      </c>
      <c r="F655">
        <v>3.2819333333333329</v>
      </c>
      <c r="G655" t="s">
        <v>239</v>
      </c>
    </row>
    <row r="656" spans="1:7" x14ac:dyDescent="0.3">
      <c r="A656" t="s">
        <v>180</v>
      </c>
      <c r="B656" t="s">
        <v>243</v>
      </c>
      <c r="C656" t="s">
        <v>1</v>
      </c>
      <c r="D656" t="s">
        <v>27</v>
      </c>
      <c r="E656" t="s">
        <v>5</v>
      </c>
      <c r="F656">
        <v>4.7842666666666656</v>
      </c>
      <c r="G656" t="s">
        <v>239</v>
      </c>
    </row>
    <row r="657" spans="1:7" x14ac:dyDescent="0.3">
      <c r="A657" t="s">
        <v>180</v>
      </c>
      <c r="B657" t="s">
        <v>243</v>
      </c>
      <c r="C657" t="s">
        <v>2</v>
      </c>
      <c r="D657" t="s">
        <v>27</v>
      </c>
      <c r="E657" t="s">
        <v>5</v>
      </c>
      <c r="F657">
        <v>5.5466666666666669</v>
      </c>
      <c r="G657" t="s">
        <v>239</v>
      </c>
    </row>
    <row r="658" spans="1:7" x14ac:dyDescent="0.3">
      <c r="A658" t="s">
        <v>180</v>
      </c>
      <c r="B658" t="s">
        <v>243</v>
      </c>
      <c r="C658" t="s">
        <v>3</v>
      </c>
      <c r="D658" t="s">
        <v>27</v>
      </c>
      <c r="E658" t="s">
        <v>5</v>
      </c>
      <c r="F658">
        <v>7.7402990166566328</v>
      </c>
      <c r="G658" t="s">
        <v>239</v>
      </c>
    </row>
    <row r="659" spans="1:7" x14ac:dyDescent="0.3">
      <c r="A659" t="s">
        <v>180</v>
      </c>
      <c r="B659" t="s">
        <v>243</v>
      </c>
      <c r="C659" t="s">
        <v>4</v>
      </c>
      <c r="D659" t="s">
        <v>27</v>
      </c>
      <c r="E659" t="s">
        <v>5</v>
      </c>
      <c r="F659">
        <v>8.8105994152046776</v>
      </c>
      <c r="G659" t="s">
        <v>239</v>
      </c>
    </row>
    <row r="660" spans="1:7" x14ac:dyDescent="0.3">
      <c r="A660" t="s">
        <v>180</v>
      </c>
      <c r="B660" t="s">
        <v>243</v>
      </c>
      <c r="C660" t="s">
        <v>179</v>
      </c>
      <c r="D660" t="s">
        <v>27</v>
      </c>
      <c r="E660" t="s">
        <v>5</v>
      </c>
      <c r="F660">
        <v>10.146719545074809</v>
      </c>
      <c r="G660" t="s">
        <v>239</v>
      </c>
    </row>
    <row r="661" spans="1:7" x14ac:dyDescent="0.3">
      <c r="A661" t="s">
        <v>180</v>
      </c>
      <c r="B661" t="s">
        <v>242</v>
      </c>
      <c r="C661" t="s">
        <v>0</v>
      </c>
      <c r="D661" t="s">
        <v>27</v>
      </c>
      <c r="E661" t="s">
        <v>5</v>
      </c>
      <c r="F661">
        <v>8.2698606060606057</v>
      </c>
      <c r="G661" t="s">
        <v>239</v>
      </c>
    </row>
    <row r="662" spans="1:7" x14ac:dyDescent="0.3">
      <c r="A662" t="s">
        <v>180</v>
      </c>
      <c r="B662" t="s">
        <v>242</v>
      </c>
      <c r="C662" t="s">
        <v>1</v>
      </c>
      <c r="D662" t="s">
        <v>27</v>
      </c>
      <c r="E662" t="s">
        <v>5</v>
      </c>
      <c r="F662">
        <v>10.597191919191919</v>
      </c>
      <c r="G662" t="s">
        <v>239</v>
      </c>
    </row>
    <row r="663" spans="1:7" x14ac:dyDescent="0.3">
      <c r="A663" t="s">
        <v>180</v>
      </c>
      <c r="B663" t="s">
        <v>242</v>
      </c>
      <c r="C663" t="s">
        <v>2</v>
      </c>
      <c r="D663" t="s">
        <v>27</v>
      </c>
      <c r="E663" t="s">
        <v>5</v>
      </c>
      <c r="F663">
        <v>12.80896060606061</v>
      </c>
      <c r="G663" t="s">
        <v>239</v>
      </c>
    </row>
    <row r="664" spans="1:7" x14ac:dyDescent="0.3">
      <c r="A664" t="s">
        <v>180</v>
      </c>
      <c r="B664" t="s">
        <v>242</v>
      </c>
      <c r="C664" t="s">
        <v>3</v>
      </c>
      <c r="D664" t="s">
        <v>27</v>
      </c>
      <c r="E664" t="s">
        <v>5</v>
      </c>
      <c r="F664">
        <v>13.413543859649121</v>
      </c>
      <c r="G664" t="s">
        <v>239</v>
      </c>
    </row>
    <row r="665" spans="1:7" x14ac:dyDescent="0.3">
      <c r="A665" t="s">
        <v>180</v>
      </c>
      <c r="B665" t="s">
        <v>242</v>
      </c>
      <c r="C665" t="s">
        <v>4</v>
      </c>
      <c r="D665" t="s">
        <v>27</v>
      </c>
      <c r="E665" t="s">
        <v>5</v>
      </c>
      <c r="F665">
        <v>13.786097126436781</v>
      </c>
      <c r="G665" t="s">
        <v>239</v>
      </c>
    </row>
    <row r="666" spans="1:7" x14ac:dyDescent="0.3">
      <c r="A666" t="s">
        <v>180</v>
      </c>
      <c r="B666" t="s">
        <v>242</v>
      </c>
      <c r="C666" t="s">
        <v>179</v>
      </c>
      <c r="D666" t="s">
        <v>27</v>
      </c>
      <c r="E666" t="s">
        <v>5</v>
      </c>
      <c r="F666">
        <v>18.606484071205919</v>
      </c>
      <c r="G666" t="s">
        <v>239</v>
      </c>
    </row>
    <row r="667" spans="1:7" x14ac:dyDescent="0.3">
      <c r="A667" t="s">
        <v>180</v>
      </c>
      <c r="B667" t="s">
        <v>241</v>
      </c>
      <c r="C667" t="s">
        <v>0</v>
      </c>
      <c r="D667" t="s">
        <v>27</v>
      </c>
      <c r="E667" t="s">
        <v>5</v>
      </c>
      <c r="F667">
        <v>21.849166666666669</v>
      </c>
      <c r="G667" t="s">
        <v>239</v>
      </c>
    </row>
    <row r="668" spans="1:7" x14ac:dyDescent="0.3">
      <c r="A668" t="s">
        <v>180</v>
      </c>
      <c r="B668" t="s">
        <v>241</v>
      </c>
      <c r="C668" t="s">
        <v>1</v>
      </c>
      <c r="D668" t="s">
        <v>27</v>
      </c>
      <c r="E668" t="s">
        <v>5</v>
      </c>
      <c r="F668">
        <v>52.88216666666667</v>
      </c>
      <c r="G668" t="s">
        <v>239</v>
      </c>
    </row>
    <row r="669" spans="1:7" x14ac:dyDescent="0.3">
      <c r="A669" t="s">
        <v>180</v>
      </c>
      <c r="B669" t="s">
        <v>241</v>
      </c>
      <c r="C669" t="s">
        <v>2</v>
      </c>
      <c r="D669" t="s">
        <v>27</v>
      </c>
      <c r="E669" t="s">
        <v>5</v>
      </c>
      <c r="F669">
        <v>58.983766666666668</v>
      </c>
      <c r="G669" t="s">
        <v>239</v>
      </c>
    </row>
    <row r="670" spans="1:7" x14ac:dyDescent="0.3">
      <c r="A670" t="s">
        <v>180</v>
      </c>
      <c r="B670" t="s">
        <v>241</v>
      </c>
      <c r="C670" t="s">
        <v>3</v>
      </c>
      <c r="D670" t="s">
        <v>27</v>
      </c>
      <c r="E670" t="s">
        <v>5</v>
      </c>
      <c r="F670">
        <v>65.430641772467013</v>
      </c>
      <c r="G670" t="s">
        <v>239</v>
      </c>
    </row>
    <row r="671" spans="1:7" x14ac:dyDescent="0.3">
      <c r="A671" t="s">
        <v>180</v>
      </c>
      <c r="B671" t="s">
        <v>241</v>
      </c>
      <c r="C671" t="s">
        <v>4</v>
      </c>
      <c r="D671" t="s">
        <v>27</v>
      </c>
      <c r="E671" t="s">
        <v>5</v>
      </c>
      <c r="F671">
        <v>0</v>
      </c>
      <c r="G671" t="s">
        <v>239</v>
      </c>
    </row>
    <row r="672" spans="1:7" x14ac:dyDescent="0.3">
      <c r="A672" t="s">
        <v>180</v>
      </c>
      <c r="B672" t="s">
        <v>241</v>
      </c>
      <c r="C672" t="s">
        <v>179</v>
      </c>
      <c r="D672" t="s">
        <v>27</v>
      </c>
      <c r="E672" t="s">
        <v>5</v>
      </c>
      <c r="F672">
        <v>0</v>
      </c>
      <c r="G672" t="s">
        <v>239</v>
      </c>
    </row>
    <row r="673" spans="1:7" x14ac:dyDescent="0.3">
      <c r="A673" t="s">
        <v>180</v>
      </c>
      <c r="B673" t="s">
        <v>240</v>
      </c>
      <c r="C673" t="s">
        <v>0</v>
      </c>
      <c r="D673" t="s">
        <v>27</v>
      </c>
      <c r="E673" t="s">
        <v>5</v>
      </c>
      <c r="F673">
        <v>1.808111111111111</v>
      </c>
      <c r="G673" t="s">
        <v>239</v>
      </c>
    </row>
    <row r="674" spans="1:7" x14ac:dyDescent="0.3">
      <c r="A674" t="s">
        <v>180</v>
      </c>
      <c r="B674" t="s">
        <v>240</v>
      </c>
      <c r="C674" t="s">
        <v>1</v>
      </c>
      <c r="D674" t="s">
        <v>27</v>
      </c>
      <c r="E674" t="s">
        <v>5</v>
      </c>
      <c r="F674">
        <v>1.829666666666667</v>
      </c>
      <c r="G674" t="s">
        <v>239</v>
      </c>
    </row>
    <row r="675" spans="1:7" x14ac:dyDescent="0.3">
      <c r="A675" t="s">
        <v>180</v>
      </c>
      <c r="B675" t="s">
        <v>240</v>
      </c>
      <c r="C675" t="s">
        <v>2</v>
      </c>
      <c r="D675" t="s">
        <v>27</v>
      </c>
      <c r="E675" t="s">
        <v>5</v>
      </c>
      <c r="F675">
        <v>1.6388888888888891</v>
      </c>
      <c r="G675" t="s">
        <v>239</v>
      </c>
    </row>
    <row r="676" spans="1:7" x14ac:dyDescent="0.3">
      <c r="A676" t="s">
        <v>180</v>
      </c>
      <c r="B676" t="s">
        <v>240</v>
      </c>
      <c r="C676" t="s">
        <v>3</v>
      </c>
      <c r="D676" t="s">
        <v>27</v>
      </c>
      <c r="E676" t="s">
        <v>5</v>
      </c>
      <c r="F676">
        <v>4.4251063829787238</v>
      </c>
      <c r="G676" t="s">
        <v>239</v>
      </c>
    </row>
    <row r="677" spans="1:7" x14ac:dyDescent="0.3">
      <c r="A677" t="s">
        <v>180</v>
      </c>
      <c r="B677" t="s">
        <v>240</v>
      </c>
      <c r="C677" t="s">
        <v>4</v>
      </c>
      <c r="D677" t="s">
        <v>27</v>
      </c>
      <c r="E677" t="s">
        <v>5</v>
      </c>
      <c r="F677">
        <v>5.1606249999999996</v>
      </c>
      <c r="G677" t="s">
        <v>239</v>
      </c>
    </row>
    <row r="678" spans="1:7" x14ac:dyDescent="0.3">
      <c r="A678" t="s">
        <v>180</v>
      </c>
      <c r="B678" t="s">
        <v>240</v>
      </c>
      <c r="C678" t="s">
        <v>179</v>
      </c>
      <c r="D678" t="s">
        <v>27</v>
      </c>
      <c r="E678" t="s">
        <v>5</v>
      </c>
      <c r="F678">
        <v>6.1711713435374156</v>
      </c>
      <c r="G678" t="s">
        <v>239</v>
      </c>
    </row>
    <row r="679" spans="1:7" x14ac:dyDescent="0.3">
      <c r="A679" s="71" t="s">
        <v>180</v>
      </c>
      <c r="B679" s="71" t="s">
        <v>238</v>
      </c>
      <c r="C679" s="97">
        <v>2015</v>
      </c>
      <c r="D679" s="71" t="s">
        <v>27</v>
      </c>
      <c r="E679" s="71" t="s">
        <v>5</v>
      </c>
      <c r="F679" s="71">
        <v>10</v>
      </c>
      <c r="G679" s="71" t="s">
        <v>236</v>
      </c>
    </row>
    <row r="680" spans="1:7" x14ac:dyDescent="0.3">
      <c r="A680" s="71" t="s">
        <v>180</v>
      </c>
      <c r="B680" s="71" t="s">
        <v>237</v>
      </c>
      <c r="C680" s="71" t="s">
        <v>2</v>
      </c>
      <c r="D680" s="71" t="s">
        <v>27</v>
      </c>
      <c r="E680" s="71" t="s">
        <v>5</v>
      </c>
      <c r="F680" s="71">
        <v>0</v>
      </c>
      <c r="G680" s="71" t="s">
        <v>236</v>
      </c>
    </row>
    <row r="681" spans="1:7" x14ac:dyDescent="0.3">
      <c r="A681" s="71" t="s">
        <v>180</v>
      </c>
      <c r="B681" s="71" t="s">
        <v>237</v>
      </c>
      <c r="C681" s="71" t="s">
        <v>3</v>
      </c>
      <c r="D681" s="71" t="s">
        <v>27</v>
      </c>
      <c r="E681" s="71" t="s">
        <v>5</v>
      </c>
      <c r="F681" s="71">
        <v>0</v>
      </c>
      <c r="G681" s="71" t="s">
        <v>236</v>
      </c>
    </row>
    <row r="682" spans="1:7" x14ac:dyDescent="0.3">
      <c r="A682" s="71" t="s">
        <v>180</v>
      </c>
      <c r="B682" s="71" t="s">
        <v>237</v>
      </c>
      <c r="C682" s="71" t="s">
        <v>4</v>
      </c>
      <c r="D682" s="71" t="s">
        <v>27</v>
      </c>
      <c r="E682" s="71" t="s">
        <v>5</v>
      </c>
      <c r="F682" s="71">
        <v>0</v>
      </c>
      <c r="G682" s="71" t="s">
        <v>236</v>
      </c>
    </row>
    <row r="683" spans="1:7" x14ac:dyDescent="0.3">
      <c r="A683" s="71" t="s">
        <v>180</v>
      </c>
      <c r="B683" s="71" t="s">
        <v>237</v>
      </c>
      <c r="C683" s="71" t="s">
        <v>179</v>
      </c>
      <c r="D683" s="71" t="s">
        <v>27</v>
      </c>
      <c r="E683" s="71" t="s">
        <v>5</v>
      </c>
      <c r="F683" s="71">
        <v>2.4917554540842199</v>
      </c>
      <c r="G683" s="71" t="s">
        <v>236</v>
      </c>
    </row>
    <row r="684" spans="1:7" x14ac:dyDescent="0.3">
      <c r="A684" s="71" t="s">
        <v>180</v>
      </c>
      <c r="B684" s="71" t="s">
        <v>237</v>
      </c>
      <c r="C684" s="71">
        <v>2020</v>
      </c>
      <c r="D684" s="71" t="s">
        <v>27</v>
      </c>
      <c r="E684" s="71" t="s">
        <v>5</v>
      </c>
      <c r="F684" s="71">
        <v>2.4917554540842199</v>
      </c>
      <c r="G684" s="71" t="s">
        <v>236</v>
      </c>
    </row>
    <row r="685" spans="1:7" x14ac:dyDescent="0.3">
      <c r="A685" t="s">
        <v>180</v>
      </c>
      <c r="B685" t="s">
        <v>168</v>
      </c>
      <c r="C685">
        <v>2020</v>
      </c>
      <c r="D685" t="s">
        <v>27</v>
      </c>
      <c r="E685" t="s">
        <v>5</v>
      </c>
      <c r="F685">
        <v>0</v>
      </c>
      <c r="G685" t="s">
        <v>239</v>
      </c>
    </row>
    <row r="686" spans="1:7" x14ac:dyDescent="0.3">
      <c r="A686" s="71" t="s">
        <v>180</v>
      </c>
      <c r="B686" s="71" t="s">
        <v>287</v>
      </c>
      <c r="C686" s="71">
        <v>2020</v>
      </c>
      <c r="D686" s="71" t="s">
        <v>27</v>
      </c>
      <c r="E686" s="71" t="s">
        <v>5</v>
      </c>
      <c r="F686" s="71">
        <v>5.3996067985799998</v>
      </c>
      <c r="G686" s="71" t="s">
        <v>239</v>
      </c>
    </row>
    <row r="687" spans="1:7" x14ac:dyDescent="0.3">
      <c r="A687" t="s">
        <v>180</v>
      </c>
      <c r="B687" t="s">
        <v>286</v>
      </c>
      <c r="C687">
        <v>2020</v>
      </c>
      <c r="D687" t="s">
        <v>27</v>
      </c>
      <c r="E687" t="s">
        <v>5</v>
      </c>
      <c r="F687">
        <v>4.5522</v>
      </c>
      <c r="G687" t="s">
        <v>239</v>
      </c>
    </row>
    <row r="688" spans="1:7" x14ac:dyDescent="0.3">
      <c r="A688" t="s">
        <v>180</v>
      </c>
      <c r="B688" t="s">
        <v>285</v>
      </c>
      <c r="C688">
        <v>2020</v>
      </c>
      <c r="D688" t="s">
        <v>27</v>
      </c>
      <c r="E688" t="s">
        <v>5</v>
      </c>
      <c r="F688">
        <v>14.1625</v>
      </c>
      <c r="G688" t="s">
        <v>239</v>
      </c>
    </row>
    <row r="689" spans="1:7" x14ac:dyDescent="0.3">
      <c r="A689" s="71" t="s">
        <v>180</v>
      </c>
      <c r="B689" s="71" t="s">
        <v>132</v>
      </c>
      <c r="C689" s="71">
        <v>2020</v>
      </c>
      <c r="D689" s="71" t="s">
        <v>27</v>
      </c>
      <c r="E689" s="71" t="s">
        <v>5</v>
      </c>
      <c r="F689" s="71">
        <v>4.4189999999999996</v>
      </c>
      <c r="G689" s="71" t="s">
        <v>239</v>
      </c>
    </row>
    <row r="690" spans="1:7" x14ac:dyDescent="0.3">
      <c r="A690" t="s">
        <v>180</v>
      </c>
      <c r="B690" t="s">
        <v>284</v>
      </c>
      <c r="C690">
        <v>2020</v>
      </c>
      <c r="D690" t="s">
        <v>27</v>
      </c>
      <c r="E690" t="s">
        <v>5</v>
      </c>
      <c r="F690">
        <v>0</v>
      </c>
      <c r="G690" t="s">
        <v>239</v>
      </c>
    </row>
    <row r="691" spans="1:7" x14ac:dyDescent="0.3">
      <c r="A691" t="s">
        <v>180</v>
      </c>
      <c r="B691" t="s">
        <v>283</v>
      </c>
      <c r="C691">
        <v>2020</v>
      </c>
      <c r="D691" t="s">
        <v>27</v>
      </c>
      <c r="E691" t="s">
        <v>5</v>
      </c>
      <c r="F691">
        <v>0</v>
      </c>
      <c r="G691" t="s">
        <v>239</v>
      </c>
    </row>
    <row r="692" spans="1:7" x14ac:dyDescent="0.3">
      <c r="A692" s="71" t="s">
        <v>180</v>
      </c>
      <c r="B692" s="71" t="s">
        <v>282</v>
      </c>
      <c r="C692" s="71">
        <v>2020</v>
      </c>
      <c r="D692" s="71" t="s">
        <v>27</v>
      </c>
      <c r="E692" s="71" t="s">
        <v>5</v>
      </c>
      <c r="F692" s="71">
        <v>12.6215119</v>
      </c>
      <c r="G692" s="71" t="s">
        <v>239</v>
      </c>
    </row>
    <row r="693" spans="1:7" x14ac:dyDescent="0.3">
      <c r="A693" s="71" t="s">
        <v>180</v>
      </c>
      <c r="B693" s="71" t="s">
        <v>20</v>
      </c>
      <c r="C693" s="71">
        <v>2020</v>
      </c>
      <c r="D693" s="71" t="s">
        <v>27</v>
      </c>
      <c r="E693" s="71" t="s">
        <v>5</v>
      </c>
      <c r="F693" s="71">
        <v>16.523900000000001</v>
      </c>
      <c r="G693" s="71" t="s">
        <v>239</v>
      </c>
    </row>
    <row r="694" spans="1:7" x14ac:dyDescent="0.3">
      <c r="A694" s="71" t="s">
        <v>180</v>
      </c>
      <c r="B694" s="71" t="s">
        <v>169</v>
      </c>
      <c r="C694" s="71">
        <v>2020</v>
      </c>
      <c r="D694" s="71" t="s">
        <v>27</v>
      </c>
      <c r="E694" s="71" t="s">
        <v>5</v>
      </c>
      <c r="F694" s="71">
        <v>3.14486</v>
      </c>
      <c r="G694" s="71" t="s">
        <v>239</v>
      </c>
    </row>
    <row r="695" spans="1:7" x14ac:dyDescent="0.3">
      <c r="A695" t="s">
        <v>180</v>
      </c>
      <c r="B695" t="s">
        <v>281</v>
      </c>
      <c r="C695">
        <v>2020</v>
      </c>
      <c r="D695" t="s">
        <v>27</v>
      </c>
      <c r="E695" t="s">
        <v>5</v>
      </c>
      <c r="F695">
        <v>0</v>
      </c>
      <c r="G695" t="s">
        <v>239</v>
      </c>
    </row>
    <row r="696" spans="1:7" x14ac:dyDescent="0.3">
      <c r="A696" t="s">
        <v>180</v>
      </c>
      <c r="B696" t="s">
        <v>280</v>
      </c>
      <c r="C696">
        <v>2020</v>
      </c>
      <c r="D696" t="s">
        <v>27</v>
      </c>
      <c r="E696" t="s">
        <v>5</v>
      </c>
      <c r="F696">
        <v>0</v>
      </c>
      <c r="G696" t="s">
        <v>239</v>
      </c>
    </row>
    <row r="697" spans="1:7" x14ac:dyDescent="0.3">
      <c r="A697" t="s">
        <v>180</v>
      </c>
      <c r="B697" t="s">
        <v>279</v>
      </c>
      <c r="C697">
        <v>2020</v>
      </c>
      <c r="D697" t="s">
        <v>27</v>
      </c>
      <c r="E697" t="s">
        <v>5</v>
      </c>
      <c r="F697">
        <v>0</v>
      </c>
      <c r="G697" t="s">
        <v>239</v>
      </c>
    </row>
    <row r="698" spans="1:7" x14ac:dyDescent="0.3">
      <c r="A698" t="s">
        <v>180</v>
      </c>
      <c r="B698" t="s">
        <v>278</v>
      </c>
      <c r="C698">
        <v>2020</v>
      </c>
      <c r="D698" t="s">
        <v>27</v>
      </c>
      <c r="E698" t="s">
        <v>5</v>
      </c>
      <c r="F698">
        <v>0</v>
      </c>
      <c r="G698" t="s">
        <v>239</v>
      </c>
    </row>
    <row r="699" spans="1:7" x14ac:dyDescent="0.3">
      <c r="A699" t="s">
        <v>180</v>
      </c>
      <c r="B699" t="s">
        <v>277</v>
      </c>
      <c r="C699">
        <v>2020</v>
      </c>
      <c r="D699" t="s">
        <v>27</v>
      </c>
      <c r="E699" t="s">
        <v>5</v>
      </c>
      <c r="F699">
        <v>0</v>
      </c>
      <c r="G699" t="s">
        <v>239</v>
      </c>
    </row>
    <row r="700" spans="1:7" x14ac:dyDescent="0.3">
      <c r="A700" s="71" t="s">
        <v>180</v>
      </c>
      <c r="B700" s="71" t="s">
        <v>276</v>
      </c>
      <c r="C700" s="71">
        <v>2020</v>
      </c>
      <c r="D700" s="71" t="s">
        <v>27</v>
      </c>
      <c r="E700" s="71" t="s">
        <v>5</v>
      </c>
      <c r="F700" s="71">
        <v>3.4193937087799999</v>
      </c>
      <c r="G700" s="71" t="s">
        <v>239</v>
      </c>
    </row>
    <row r="701" spans="1:7" x14ac:dyDescent="0.3">
      <c r="A701" s="71" t="s">
        <v>180</v>
      </c>
      <c r="B701" s="71" t="s">
        <v>19</v>
      </c>
      <c r="C701" s="71">
        <v>2020</v>
      </c>
      <c r="D701" s="71" t="s">
        <v>27</v>
      </c>
      <c r="E701" s="71" t="s">
        <v>5</v>
      </c>
      <c r="F701" s="71">
        <v>5.6849315060000002E-2</v>
      </c>
      <c r="G701" s="71" t="s">
        <v>239</v>
      </c>
    </row>
    <row r="702" spans="1:7" x14ac:dyDescent="0.3">
      <c r="A702" t="s">
        <v>180</v>
      </c>
      <c r="B702" t="s">
        <v>275</v>
      </c>
      <c r="C702">
        <v>2020</v>
      </c>
      <c r="D702" t="s">
        <v>27</v>
      </c>
      <c r="E702" t="s">
        <v>5</v>
      </c>
      <c r="F702">
        <v>0</v>
      </c>
      <c r="G702" t="s">
        <v>239</v>
      </c>
    </row>
    <row r="703" spans="1:7" x14ac:dyDescent="0.3">
      <c r="A703" t="s">
        <v>180</v>
      </c>
      <c r="B703" t="s">
        <v>274</v>
      </c>
      <c r="C703">
        <v>2020</v>
      </c>
      <c r="D703" t="s">
        <v>27</v>
      </c>
      <c r="E703" t="s">
        <v>5</v>
      </c>
      <c r="F703">
        <v>0</v>
      </c>
      <c r="G703" t="s">
        <v>239</v>
      </c>
    </row>
    <row r="704" spans="1:7" x14ac:dyDescent="0.3">
      <c r="A704" t="s">
        <v>180</v>
      </c>
      <c r="B704" t="s">
        <v>273</v>
      </c>
      <c r="C704">
        <v>2020</v>
      </c>
      <c r="D704" t="s">
        <v>27</v>
      </c>
      <c r="E704" t="s">
        <v>5</v>
      </c>
      <c r="F704">
        <v>0</v>
      </c>
      <c r="G704" t="s">
        <v>239</v>
      </c>
    </row>
    <row r="705" spans="1:7" x14ac:dyDescent="0.3">
      <c r="A705" t="s">
        <v>180</v>
      </c>
      <c r="B705" t="s">
        <v>272</v>
      </c>
      <c r="C705">
        <v>2020</v>
      </c>
      <c r="D705" t="s">
        <v>27</v>
      </c>
      <c r="E705" t="s">
        <v>5</v>
      </c>
      <c r="F705">
        <v>0</v>
      </c>
      <c r="G705" t="s">
        <v>239</v>
      </c>
    </row>
    <row r="706" spans="1:7" x14ac:dyDescent="0.3">
      <c r="A706" t="s">
        <v>180</v>
      </c>
      <c r="B706" t="s">
        <v>140</v>
      </c>
      <c r="C706">
        <v>2020</v>
      </c>
      <c r="D706" t="s">
        <v>27</v>
      </c>
      <c r="E706" t="s">
        <v>5</v>
      </c>
      <c r="F706">
        <v>0</v>
      </c>
      <c r="G706" t="s">
        <v>239</v>
      </c>
    </row>
    <row r="707" spans="1:7" x14ac:dyDescent="0.3">
      <c r="A707" t="s">
        <v>180</v>
      </c>
      <c r="B707" t="s">
        <v>271</v>
      </c>
      <c r="C707">
        <v>2020</v>
      </c>
      <c r="D707" t="s">
        <v>27</v>
      </c>
      <c r="E707" t="s">
        <v>5</v>
      </c>
      <c r="F707">
        <v>0</v>
      </c>
      <c r="G707" t="s">
        <v>239</v>
      </c>
    </row>
    <row r="708" spans="1:7" x14ac:dyDescent="0.3">
      <c r="A708" t="s">
        <v>180</v>
      </c>
      <c r="B708" t="s">
        <v>24</v>
      </c>
      <c r="C708">
        <v>2020</v>
      </c>
      <c r="D708" t="s">
        <v>27</v>
      </c>
      <c r="E708" t="s">
        <v>5</v>
      </c>
      <c r="F708">
        <v>0</v>
      </c>
      <c r="G708" t="s">
        <v>239</v>
      </c>
    </row>
    <row r="709" spans="1:7" x14ac:dyDescent="0.3">
      <c r="A709" t="s">
        <v>180</v>
      </c>
      <c r="B709" t="s">
        <v>270</v>
      </c>
      <c r="C709">
        <v>2020</v>
      </c>
      <c r="D709" t="s">
        <v>27</v>
      </c>
      <c r="E709" t="s">
        <v>5</v>
      </c>
      <c r="F709">
        <v>0.32769999999999999</v>
      </c>
      <c r="G709" t="s">
        <v>239</v>
      </c>
    </row>
    <row r="710" spans="1:7" x14ac:dyDescent="0.3">
      <c r="A710" s="71" t="s">
        <v>180</v>
      </c>
      <c r="B710" s="71" t="s">
        <v>269</v>
      </c>
      <c r="C710" s="71">
        <v>2020</v>
      </c>
      <c r="D710" s="71" t="s">
        <v>27</v>
      </c>
      <c r="E710" s="71" t="s">
        <v>5</v>
      </c>
      <c r="F710" s="71">
        <v>1.9604261796</v>
      </c>
      <c r="G710" s="71" t="s">
        <v>239</v>
      </c>
    </row>
    <row r="711" spans="1:7" x14ac:dyDescent="0.3">
      <c r="A711" s="71" t="s">
        <v>180</v>
      </c>
      <c r="B711" s="71" t="s">
        <v>17</v>
      </c>
      <c r="C711" s="71">
        <v>2020</v>
      </c>
      <c r="D711" s="71" t="s">
        <v>27</v>
      </c>
      <c r="E711" s="71" t="s">
        <v>5</v>
      </c>
      <c r="F711" s="71">
        <v>14.661751648899999</v>
      </c>
      <c r="G711" s="71" t="s">
        <v>239</v>
      </c>
    </row>
    <row r="712" spans="1:7" x14ac:dyDescent="0.3">
      <c r="A712" s="71" t="s">
        <v>180</v>
      </c>
      <c r="B712" s="71" t="s">
        <v>170</v>
      </c>
      <c r="C712" s="71">
        <v>2020</v>
      </c>
      <c r="D712" s="71" t="s">
        <v>27</v>
      </c>
      <c r="E712" s="71" t="s">
        <v>5</v>
      </c>
      <c r="F712" s="71">
        <v>1.96301369863</v>
      </c>
      <c r="G712" s="71" t="s">
        <v>239</v>
      </c>
    </row>
    <row r="713" spans="1:7" x14ac:dyDescent="0.3">
      <c r="A713" t="s">
        <v>180</v>
      </c>
      <c r="B713" t="s">
        <v>268</v>
      </c>
      <c r="C713">
        <v>2020</v>
      </c>
      <c r="D713" t="s">
        <v>27</v>
      </c>
      <c r="E713" t="s">
        <v>5</v>
      </c>
      <c r="F713">
        <v>3.3999999999999998E-3</v>
      </c>
      <c r="G713" t="s">
        <v>239</v>
      </c>
    </row>
    <row r="714" spans="1:7" x14ac:dyDescent="0.3">
      <c r="A714" t="s">
        <v>180</v>
      </c>
      <c r="B714" t="s">
        <v>267</v>
      </c>
      <c r="C714">
        <v>2020</v>
      </c>
      <c r="D714" t="s">
        <v>27</v>
      </c>
      <c r="E714" t="s">
        <v>5</v>
      </c>
      <c r="F714">
        <v>1.2999999999999999E-3</v>
      </c>
      <c r="G714" t="s">
        <v>239</v>
      </c>
    </row>
    <row r="715" spans="1:7" x14ac:dyDescent="0.3">
      <c r="A715" t="s">
        <v>180</v>
      </c>
      <c r="B715" t="s">
        <v>171</v>
      </c>
      <c r="C715">
        <v>2020</v>
      </c>
      <c r="D715" t="s">
        <v>27</v>
      </c>
      <c r="E715" t="s">
        <v>5</v>
      </c>
      <c r="F715">
        <v>0</v>
      </c>
      <c r="G715" t="s">
        <v>239</v>
      </c>
    </row>
    <row r="716" spans="1:7" x14ac:dyDescent="0.3">
      <c r="A716" t="s">
        <v>180</v>
      </c>
      <c r="B716" t="s">
        <v>172</v>
      </c>
      <c r="C716">
        <v>2020</v>
      </c>
      <c r="D716" t="s">
        <v>27</v>
      </c>
      <c r="E716" t="s">
        <v>5</v>
      </c>
      <c r="F716">
        <v>1.086330291407138</v>
      </c>
      <c r="G716" t="s">
        <v>239</v>
      </c>
    </row>
    <row r="717" spans="1:7" x14ac:dyDescent="0.3">
      <c r="A717" s="71" t="s">
        <v>180</v>
      </c>
      <c r="B717" s="71" t="s">
        <v>136</v>
      </c>
      <c r="C717" s="71">
        <v>2020</v>
      </c>
      <c r="D717" s="71" t="s">
        <v>27</v>
      </c>
      <c r="E717" s="71" t="s">
        <v>5</v>
      </c>
      <c r="F717" s="71">
        <v>31.529458396799999</v>
      </c>
      <c r="G717" s="71" t="s">
        <v>239</v>
      </c>
    </row>
    <row r="718" spans="1:7" x14ac:dyDescent="0.3">
      <c r="A718" t="s">
        <v>180</v>
      </c>
      <c r="B718" t="s">
        <v>266</v>
      </c>
      <c r="C718">
        <v>2020</v>
      </c>
      <c r="D718" t="s">
        <v>27</v>
      </c>
      <c r="E718" t="s">
        <v>5</v>
      </c>
      <c r="F718">
        <v>3.9184000000000001</v>
      </c>
      <c r="G718" t="s">
        <v>239</v>
      </c>
    </row>
    <row r="719" spans="1:7" x14ac:dyDescent="0.3">
      <c r="A719" s="71" t="s">
        <v>180</v>
      </c>
      <c r="B719" s="71" t="s">
        <v>265</v>
      </c>
      <c r="C719" s="71">
        <v>2020</v>
      </c>
      <c r="D719" s="71" t="s">
        <v>27</v>
      </c>
      <c r="E719" s="71" t="s">
        <v>5</v>
      </c>
      <c r="F719" s="71">
        <v>10.9473934551</v>
      </c>
      <c r="G719" s="71" t="s">
        <v>239</v>
      </c>
    </row>
    <row r="720" spans="1:7" x14ac:dyDescent="0.3">
      <c r="A720" s="71" t="s">
        <v>180</v>
      </c>
      <c r="B720" s="71" t="s">
        <v>18</v>
      </c>
      <c r="C720" s="71">
        <v>2020</v>
      </c>
      <c r="D720" s="71" t="s">
        <v>27</v>
      </c>
      <c r="E720" s="71" t="s">
        <v>5</v>
      </c>
      <c r="F720" s="71">
        <v>12.5153792491</v>
      </c>
      <c r="G720" s="71" t="s">
        <v>239</v>
      </c>
    </row>
    <row r="721" spans="1:7" x14ac:dyDescent="0.3">
      <c r="A721" s="71" t="s">
        <v>180</v>
      </c>
      <c r="B721" s="71" t="s">
        <v>173</v>
      </c>
      <c r="C721" s="71">
        <v>2020</v>
      </c>
      <c r="D721" s="71" t="s">
        <v>27</v>
      </c>
      <c r="E721" s="71" t="s">
        <v>5</v>
      </c>
      <c r="F721" s="71">
        <v>5.6474885844699996</v>
      </c>
      <c r="G721" s="71" t="s">
        <v>239</v>
      </c>
    </row>
    <row r="722" spans="1:7" x14ac:dyDescent="0.3">
      <c r="A722" s="71" t="s">
        <v>180</v>
      </c>
      <c r="B722" s="71" t="s">
        <v>264</v>
      </c>
      <c r="C722" s="71">
        <v>2020</v>
      </c>
      <c r="D722" s="71" t="s">
        <v>27</v>
      </c>
      <c r="E722" s="71" t="s">
        <v>5</v>
      </c>
      <c r="F722" s="71">
        <v>10.2559297311</v>
      </c>
      <c r="G722" s="71" t="s">
        <v>239</v>
      </c>
    </row>
    <row r="723" spans="1:7" x14ac:dyDescent="0.3">
      <c r="A723" t="s">
        <v>180</v>
      </c>
      <c r="B723" t="s">
        <v>263</v>
      </c>
      <c r="C723">
        <v>2020</v>
      </c>
      <c r="D723" t="s">
        <v>27</v>
      </c>
      <c r="E723" t="s">
        <v>5</v>
      </c>
      <c r="F723">
        <v>23.986449101739879</v>
      </c>
      <c r="G723" t="s">
        <v>239</v>
      </c>
    </row>
    <row r="724" spans="1:7" x14ac:dyDescent="0.3">
      <c r="A724" s="71" t="s">
        <v>180</v>
      </c>
      <c r="B724" s="71" t="s">
        <v>262</v>
      </c>
      <c r="C724" s="71">
        <v>2020</v>
      </c>
      <c r="D724" s="71" t="s">
        <v>27</v>
      </c>
      <c r="E724" s="71" t="s">
        <v>5</v>
      </c>
      <c r="F724" s="71">
        <v>1.76392059868</v>
      </c>
      <c r="G724" s="71" t="s">
        <v>239</v>
      </c>
    </row>
    <row r="725" spans="1:7" x14ac:dyDescent="0.3">
      <c r="A725" t="s">
        <v>180</v>
      </c>
      <c r="B725" t="s">
        <v>261</v>
      </c>
      <c r="C725">
        <v>2020</v>
      </c>
      <c r="D725" t="s">
        <v>27</v>
      </c>
      <c r="E725" t="s">
        <v>5</v>
      </c>
      <c r="F725">
        <v>0</v>
      </c>
      <c r="G725" t="s">
        <v>239</v>
      </c>
    </row>
    <row r="726" spans="1:7" x14ac:dyDescent="0.3">
      <c r="A726" t="s">
        <v>180</v>
      </c>
      <c r="B726" t="s">
        <v>260</v>
      </c>
      <c r="C726">
        <v>2020</v>
      </c>
      <c r="D726" t="s">
        <v>27</v>
      </c>
      <c r="E726" t="s">
        <v>5</v>
      </c>
      <c r="F726">
        <v>0</v>
      </c>
      <c r="G726" t="s">
        <v>239</v>
      </c>
    </row>
    <row r="727" spans="1:7" x14ac:dyDescent="0.3">
      <c r="A727" t="s">
        <v>180</v>
      </c>
      <c r="B727" t="s">
        <v>259</v>
      </c>
      <c r="C727">
        <v>2020</v>
      </c>
      <c r="D727" t="s">
        <v>27</v>
      </c>
      <c r="E727" t="s">
        <v>5</v>
      </c>
      <c r="F727">
        <v>0</v>
      </c>
      <c r="G727" t="s">
        <v>239</v>
      </c>
    </row>
    <row r="728" spans="1:7" x14ac:dyDescent="0.3">
      <c r="A728" t="s">
        <v>180</v>
      </c>
      <c r="B728" t="s">
        <v>258</v>
      </c>
      <c r="C728">
        <v>2020</v>
      </c>
      <c r="D728" t="s">
        <v>27</v>
      </c>
      <c r="E728" t="s">
        <v>5</v>
      </c>
      <c r="F728">
        <v>0</v>
      </c>
      <c r="G728" t="s">
        <v>239</v>
      </c>
    </row>
    <row r="729" spans="1:7" x14ac:dyDescent="0.3">
      <c r="A729" t="s">
        <v>180</v>
      </c>
      <c r="B729" t="s">
        <v>46</v>
      </c>
      <c r="C729">
        <v>2020</v>
      </c>
      <c r="D729" t="s">
        <v>27</v>
      </c>
      <c r="E729" t="s">
        <v>5</v>
      </c>
      <c r="F729">
        <v>0</v>
      </c>
      <c r="G729" t="s">
        <v>239</v>
      </c>
    </row>
    <row r="730" spans="1:7" x14ac:dyDescent="0.3">
      <c r="A730" s="71" t="s">
        <v>180</v>
      </c>
      <c r="B730" s="71" t="s">
        <v>165</v>
      </c>
      <c r="C730" s="71">
        <v>2020</v>
      </c>
      <c r="D730" s="71" t="s">
        <v>27</v>
      </c>
      <c r="E730" s="71" t="s">
        <v>5</v>
      </c>
      <c r="F730" s="71">
        <v>4</v>
      </c>
      <c r="G730" s="71" t="s">
        <v>239</v>
      </c>
    </row>
    <row r="731" spans="1:7" x14ac:dyDescent="0.3">
      <c r="A731" t="s">
        <v>180</v>
      </c>
      <c r="B731" t="s">
        <v>151</v>
      </c>
      <c r="C731">
        <v>2020</v>
      </c>
      <c r="D731" t="s">
        <v>27</v>
      </c>
      <c r="E731" t="s">
        <v>5</v>
      </c>
      <c r="F731">
        <v>0</v>
      </c>
      <c r="G731" t="s">
        <v>239</v>
      </c>
    </row>
    <row r="732" spans="1:7" x14ac:dyDescent="0.3">
      <c r="A732" t="s">
        <v>180</v>
      </c>
      <c r="B732" t="s">
        <v>257</v>
      </c>
      <c r="C732">
        <v>2020</v>
      </c>
      <c r="D732" t="s">
        <v>27</v>
      </c>
      <c r="E732" t="s">
        <v>5</v>
      </c>
      <c r="F732">
        <v>0</v>
      </c>
      <c r="G732" t="s">
        <v>239</v>
      </c>
    </row>
    <row r="733" spans="1:7" x14ac:dyDescent="0.3">
      <c r="A733" t="s">
        <v>180</v>
      </c>
      <c r="B733" t="s">
        <v>23</v>
      </c>
      <c r="C733">
        <v>2020</v>
      </c>
      <c r="D733" t="s">
        <v>27</v>
      </c>
      <c r="E733" t="s">
        <v>5</v>
      </c>
      <c r="F733">
        <v>1.6109</v>
      </c>
      <c r="G733" t="s">
        <v>239</v>
      </c>
    </row>
    <row r="734" spans="1:7" x14ac:dyDescent="0.3">
      <c r="A734" t="s">
        <v>180</v>
      </c>
      <c r="B734" t="s">
        <v>256</v>
      </c>
      <c r="C734">
        <v>2020</v>
      </c>
      <c r="D734" t="s">
        <v>27</v>
      </c>
      <c r="E734" t="s">
        <v>5</v>
      </c>
      <c r="F734">
        <v>0.19470000000000001</v>
      </c>
      <c r="G734" t="s">
        <v>239</v>
      </c>
    </row>
    <row r="735" spans="1:7" x14ac:dyDescent="0.3">
      <c r="A735" t="s">
        <v>180</v>
      </c>
      <c r="B735" t="s">
        <v>255</v>
      </c>
      <c r="C735">
        <v>2020</v>
      </c>
      <c r="D735" t="s">
        <v>27</v>
      </c>
      <c r="E735" t="s">
        <v>5</v>
      </c>
      <c r="F735">
        <v>0.47899999999999998</v>
      </c>
      <c r="G735" t="s">
        <v>239</v>
      </c>
    </row>
    <row r="736" spans="1:7" x14ac:dyDescent="0.3">
      <c r="A736" t="s">
        <v>180</v>
      </c>
      <c r="B736" t="s">
        <v>16</v>
      </c>
      <c r="C736">
        <v>2020</v>
      </c>
      <c r="D736" t="s">
        <v>27</v>
      </c>
      <c r="E736" t="s">
        <v>5</v>
      </c>
      <c r="F736">
        <v>9.0229999999999997</v>
      </c>
      <c r="G736" t="s">
        <v>239</v>
      </c>
    </row>
    <row r="737" spans="1:7" x14ac:dyDescent="0.3">
      <c r="A737" t="s">
        <v>180</v>
      </c>
      <c r="B737" t="s">
        <v>135</v>
      </c>
      <c r="C737">
        <v>2020</v>
      </c>
      <c r="D737" t="s">
        <v>27</v>
      </c>
      <c r="E737" t="s">
        <v>5</v>
      </c>
      <c r="F737">
        <v>3.0110000000000001</v>
      </c>
      <c r="G737" t="s">
        <v>239</v>
      </c>
    </row>
    <row r="738" spans="1:7" x14ac:dyDescent="0.3">
      <c r="A738" t="s">
        <v>180</v>
      </c>
      <c r="B738" t="s">
        <v>254</v>
      </c>
      <c r="C738">
        <v>2020</v>
      </c>
      <c r="D738" t="s">
        <v>27</v>
      </c>
      <c r="E738" t="s">
        <v>5</v>
      </c>
      <c r="F738">
        <v>0.67249999999999999</v>
      </c>
      <c r="G738" t="s">
        <v>239</v>
      </c>
    </row>
    <row r="739" spans="1:7" x14ac:dyDescent="0.3">
      <c r="A739" s="71" t="s">
        <v>180</v>
      </c>
      <c r="B739" s="71" t="s">
        <v>253</v>
      </c>
      <c r="C739" s="71">
        <v>2020</v>
      </c>
      <c r="D739" s="71" t="s">
        <v>27</v>
      </c>
      <c r="E739" s="71" t="s">
        <v>5</v>
      </c>
      <c r="F739" s="71">
        <v>22.1720573313</v>
      </c>
      <c r="G739" s="71" t="s">
        <v>239</v>
      </c>
    </row>
    <row r="740" spans="1:7" x14ac:dyDescent="0.3">
      <c r="A740" t="s">
        <v>180</v>
      </c>
      <c r="B740" t="s">
        <v>252</v>
      </c>
      <c r="C740">
        <v>2020</v>
      </c>
      <c r="D740" t="s">
        <v>27</v>
      </c>
      <c r="E740" t="s">
        <v>5</v>
      </c>
      <c r="F740">
        <v>0</v>
      </c>
      <c r="G740" t="s">
        <v>239</v>
      </c>
    </row>
    <row r="741" spans="1:7" x14ac:dyDescent="0.3">
      <c r="A741" t="s">
        <v>180</v>
      </c>
      <c r="B741" t="s">
        <v>251</v>
      </c>
      <c r="C741">
        <v>2020</v>
      </c>
      <c r="D741" t="s">
        <v>27</v>
      </c>
      <c r="E741" t="s">
        <v>5</v>
      </c>
      <c r="F741">
        <v>0</v>
      </c>
      <c r="G741" t="s">
        <v>239</v>
      </c>
    </row>
    <row r="742" spans="1:7" x14ac:dyDescent="0.3">
      <c r="A742" s="71" t="s">
        <v>180</v>
      </c>
      <c r="B742" s="71" t="s">
        <v>134</v>
      </c>
      <c r="C742" s="71">
        <v>2020</v>
      </c>
      <c r="D742" s="71" t="s">
        <v>27</v>
      </c>
      <c r="E742" s="71" t="s">
        <v>5</v>
      </c>
      <c r="F742" s="71">
        <v>1.06689497717</v>
      </c>
      <c r="G742" s="71" t="s">
        <v>239</v>
      </c>
    </row>
    <row r="743" spans="1:7" x14ac:dyDescent="0.3">
      <c r="A743" t="s">
        <v>180</v>
      </c>
      <c r="B743" t="s">
        <v>22</v>
      </c>
      <c r="C743">
        <v>2020</v>
      </c>
      <c r="D743" t="s">
        <v>27</v>
      </c>
      <c r="E743" t="s">
        <v>5</v>
      </c>
      <c r="F743">
        <v>0.85219999999999996</v>
      </c>
      <c r="G743" t="s">
        <v>239</v>
      </c>
    </row>
    <row r="744" spans="1:7" x14ac:dyDescent="0.3">
      <c r="A744" s="71" t="s">
        <v>180</v>
      </c>
      <c r="B744" s="71" t="s">
        <v>137</v>
      </c>
      <c r="C744" s="71">
        <v>2020</v>
      </c>
      <c r="D744" s="71" t="s">
        <v>27</v>
      </c>
      <c r="E744" s="71" t="s">
        <v>5</v>
      </c>
      <c r="F744" s="71">
        <v>5.6824581430699999</v>
      </c>
      <c r="G744" s="71" t="s">
        <v>239</v>
      </c>
    </row>
    <row r="745" spans="1:7" x14ac:dyDescent="0.3">
      <c r="A745" s="71" t="s">
        <v>180</v>
      </c>
      <c r="B745" s="71" t="s">
        <v>15</v>
      </c>
      <c r="C745" s="71">
        <v>2020</v>
      </c>
      <c r="D745" s="71" t="s">
        <v>27</v>
      </c>
      <c r="E745" s="71" t="s">
        <v>5</v>
      </c>
      <c r="F745" s="71">
        <v>12.218068239500001</v>
      </c>
      <c r="G745" s="71" t="s">
        <v>239</v>
      </c>
    </row>
    <row r="746" spans="1:7" x14ac:dyDescent="0.3">
      <c r="A746" t="s">
        <v>180</v>
      </c>
      <c r="B746" t="s">
        <v>250</v>
      </c>
      <c r="C746">
        <v>2020</v>
      </c>
      <c r="D746" t="s">
        <v>27</v>
      </c>
      <c r="E746" t="s">
        <v>5</v>
      </c>
      <c r="F746">
        <v>4.3183999999999996</v>
      </c>
      <c r="G746" t="s">
        <v>239</v>
      </c>
    </row>
    <row r="747" spans="1:7" x14ac:dyDescent="0.3">
      <c r="A747" t="s">
        <v>180</v>
      </c>
      <c r="B747" t="s">
        <v>249</v>
      </c>
      <c r="C747">
        <v>2020</v>
      </c>
      <c r="D747" t="s">
        <v>27</v>
      </c>
      <c r="E747" t="s">
        <v>5</v>
      </c>
      <c r="F747">
        <v>12.783799999999999</v>
      </c>
      <c r="G747" t="s">
        <v>239</v>
      </c>
    </row>
    <row r="748" spans="1:7" x14ac:dyDescent="0.3">
      <c r="A748" s="71" t="s">
        <v>180</v>
      </c>
      <c r="B748" s="71" t="s">
        <v>166</v>
      </c>
      <c r="C748" s="71">
        <v>2020</v>
      </c>
      <c r="D748" s="71" t="s">
        <v>27</v>
      </c>
      <c r="E748" s="71" t="s">
        <v>5</v>
      </c>
      <c r="F748" s="71">
        <v>8.1278538809999995E-2</v>
      </c>
      <c r="G748" s="71" t="s">
        <v>239</v>
      </c>
    </row>
    <row r="749" spans="1:7" x14ac:dyDescent="0.3">
      <c r="A749" t="s">
        <v>180</v>
      </c>
      <c r="B749" t="s">
        <v>248</v>
      </c>
      <c r="C749">
        <v>2020</v>
      </c>
      <c r="D749" t="s">
        <v>27</v>
      </c>
      <c r="E749" t="s">
        <v>5</v>
      </c>
      <c r="F749">
        <v>0</v>
      </c>
      <c r="G749" t="s">
        <v>239</v>
      </c>
    </row>
    <row r="750" spans="1:7" x14ac:dyDescent="0.3">
      <c r="A750" t="s">
        <v>180</v>
      </c>
      <c r="B750" t="s">
        <v>247</v>
      </c>
      <c r="C750">
        <v>2020</v>
      </c>
      <c r="D750" t="s">
        <v>27</v>
      </c>
      <c r="E750" t="s">
        <v>5</v>
      </c>
      <c r="F750">
        <v>2.2845</v>
      </c>
      <c r="G750" t="s">
        <v>239</v>
      </c>
    </row>
    <row r="751" spans="1:7" x14ac:dyDescent="0.3">
      <c r="A751" t="s">
        <v>180</v>
      </c>
      <c r="B751" t="s">
        <v>246</v>
      </c>
      <c r="C751">
        <v>2020</v>
      </c>
      <c r="D751" t="s">
        <v>27</v>
      </c>
      <c r="E751" t="s">
        <v>5</v>
      </c>
      <c r="F751">
        <v>3.5</v>
      </c>
      <c r="G751" t="s">
        <v>239</v>
      </c>
    </row>
    <row r="752" spans="1:7" x14ac:dyDescent="0.3">
      <c r="A752" t="s">
        <v>180</v>
      </c>
      <c r="B752" t="s">
        <v>245</v>
      </c>
      <c r="C752">
        <v>2020</v>
      </c>
      <c r="D752" t="s">
        <v>27</v>
      </c>
      <c r="E752" t="s">
        <v>5</v>
      </c>
      <c r="F752">
        <v>0</v>
      </c>
      <c r="G752" t="s">
        <v>239</v>
      </c>
    </row>
    <row r="753" spans="1:7" x14ac:dyDescent="0.3">
      <c r="A753" s="71" t="s">
        <v>180</v>
      </c>
      <c r="B753" s="71" t="s">
        <v>49</v>
      </c>
      <c r="C753" s="71">
        <v>2020</v>
      </c>
      <c r="D753" s="71" t="s">
        <v>27</v>
      </c>
      <c r="E753" s="71" t="s">
        <v>5</v>
      </c>
      <c r="F753" s="71">
        <v>0.33105022831000003</v>
      </c>
      <c r="G753" s="71" t="s">
        <v>239</v>
      </c>
    </row>
    <row r="754" spans="1:7" x14ac:dyDescent="0.3">
      <c r="A754" t="s">
        <v>180</v>
      </c>
      <c r="B754" t="s">
        <v>138</v>
      </c>
      <c r="C754">
        <v>2020</v>
      </c>
      <c r="D754" t="s">
        <v>27</v>
      </c>
      <c r="E754" t="s">
        <v>5</v>
      </c>
      <c r="F754">
        <v>7.4107000000000003</v>
      </c>
      <c r="G754" t="s">
        <v>239</v>
      </c>
    </row>
    <row r="755" spans="1:7" x14ac:dyDescent="0.3">
      <c r="A755" t="s">
        <v>180</v>
      </c>
      <c r="B755" t="s">
        <v>32</v>
      </c>
      <c r="C755">
        <v>2020</v>
      </c>
      <c r="D755" t="s">
        <v>27</v>
      </c>
      <c r="E755" t="s">
        <v>5</v>
      </c>
      <c r="F755">
        <v>35.118400000000001</v>
      </c>
      <c r="G755" t="s">
        <v>239</v>
      </c>
    </row>
    <row r="756" spans="1:7" x14ac:dyDescent="0.3">
      <c r="A756" t="s">
        <v>180</v>
      </c>
      <c r="B756" t="s">
        <v>130</v>
      </c>
      <c r="C756">
        <v>2020</v>
      </c>
      <c r="D756" t="s">
        <v>27</v>
      </c>
      <c r="E756" t="s">
        <v>5</v>
      </c>
      <c r="F756">
        <v>2.0253000000000001</v>
      </c>
      <c r="G756" t="s">
        <v>239</v>
      </c>
    </row>
    <row r="757" spans="1:7" x14ac:dyDescent="0.3">
      <c r="A757" t="s">
        <v>180</v>
      </c>
      <c r="B757" t="s">
        <v>244</v>
      </c>
      <c r="C757">
        <v>2020</v>
      </c>
      <c r="D757" t="s">
        <v>27</v>
      </c>
      <c r="E757" t="s">
        <v>5</v>
      </c>
      <c r="F757">
        <v>0</v>
      </c>
      <c r="G757" t="s">
        <v>239</v>
      </c>
    </row>
    <row r="758" spans="1:7" x14ac:dyDescent="0.3">
      <c r="A758" t="s">
        <v>180</v>
      </c>
      <c r="B758" t="s">
        <v>243</v>
      </c>
      <c r="C758">
        <v>2020</v>
      </c>
      <c r="D758" t="s">
        <v>27</v>
      </c>
      <c r="E758" t="s">
        <v>5</v>
      </c>
      <c r="F758">
        <v>10.146719545074809</v>
      </c>
      <c r="G758" t="s">
        <v>239</v>
      </c>
    </row>
    <row r="759" spans="1:7" x14ac:dyDescent="0.3">
      <c r="A759" t="s">
        <v>180</v>
      </c>
      <c r="B759" t="s">
        <v>242</v>
      </c>
      <c r="C759">
        <v>2020</v>
      </c>
      <c r="D759" t="s">
        <v>27</v>
      </c>
      <c r="E759" t="s">
        <v>5</v>
      </c>
      <c r="F759">
        <v>18.606484071205919</v>
      </c>
      <c r="G759" t="s">
        <v>239</v>
      </c>
    </row>
    <row r="760" spans="1:7" x14ac:dyDescent="0.3">
      <c r="A760" t="s">
        <v>180</v>
      </c>
      <c r="B760" t="s">
        <v>241</v>
      </c>
      <c r="C760">
        <v>2020</v>
      </c>
      <c r="D760" t="s">
        <v>27</v>
      </c>
      <c r="E760" t="s">
        <v>5</v>
      </c>
      <c r="F760">
        <v>0</v>
      </c>
      <c r="G760" t="s">
        <v>239</v>
      </c>
    </row>
    <row r="761" spans="1:7" x14ac:dyDescent="0.3">
      <c r="A761" t="s">
        <v>180</v>
      </c>
      <c r="B761" t="s">
        <v>240</v>
      </c>
      <c r="C761">
        <v>2020</v>
      </c>
      <c r="D761" t="s">
        <v>27</v>
      </c>
      <c r="E761" t="s">
        <v>5</v>
      </c>
      <c r="F761">
        <v>6.1711713435374156</v>
      </c>
      <c r="G761" t="s">
        <v>239</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E75F8-D214-444F-8B63-E3540FAB5631}">
  <dimension ref="A1:F10"/>
  <sheetViews>
    <sheetView workbookViewId="0">
      <selection activeCell="B2" sqref="B2"/>
    </sheetView>
  </sheetViews>
  <sheetFormatPr defaultColWidth="8.77734375" defaultRowHeight="14.4" x14ac:dyDescent="0.3"/>
  <cols>
    <col min="1" max="1" width="19" bestFit="1" customWidth="1"/>
    <col min="2" max="2" width="19" customWidth="1"/>
  </cols>
  <sheetData>
    <row r="1" spans="1:6" x14ac:dyDescent="0.3">
      <c r="A1" s="81" t="s">
        <v>203</v>
      </c>
      <c r="B1" s="81" t="s">
        <v>204</v>
      </c>
      <c r="C1" s="81" t="s">
        <v>10</v>
      </c>
      <c r="D1" s="81" t="s">
        <v>12</v>
      </c>
      <c r="E1" s="81" t="s">
        <v>9</v>
      </c>
      <c r="F1" s="96" t="s">
        <v>235</v>
      </c>
    </row>
    <row r="2" spans="1:6" x14ac:dyDescent="0.3">
      <c r="A2" t="s">
        <v>205</v>
      </c>
      <c r="B2" t="s">
        <v>180</v>
      </c>
      <c r="C2">
        <v>2020</v>
      </c>
      <c r="D2" t="s">
        <v>5</v>
      </c>
      <c r="E2">
        <v>0.1</v>
      </c>
      <c r="F2" t="s">
        <v>143</v>
      </c>
    </row>
    <row r="3" spans="1:6" x14ac:dyDescent="0.3">
      <c r="A3" t="s">
        <v>205</v>
      </c>
      <c r="B3" t="s">
        <v>180</v>
      </c>
      <c r="C3">
        <v>2025</v>
      </c>
      <c r="D3" t="s">
        <v>5</v>
      </c>
      <c r="E3">
        <v>0.25</v>
      </c>
      <c r="F3" t="s">
        <v>143</v>
      </c>
    </row>
    <row r="4" spans="1:6" x14ac:dyDescent="0.3">
      <c r="A4" t="s">
        <v>205</v>
      </c>
      <c r="B4" t="s">
        <v>180</v>
      </c>
      <c r="C4">
        <v>2030</v>
      </c>
      <c r="D4" t="s">
        <v>5</v>
      </c>
      <c r="E4">
        <v>0.5</v>
      </c>
      <c r="F4" t="s">
        <v>143</v>
      </c>
    </row>
    <row r="5" spans="1:6" x14ac:dyDescent="0.3">
      <c r="A5" t="s">
        <v>205</v>
      </c>
      <c r="B5" t="s">
        <v>180</v>
      </c>
      <c r="C5">
        <v>2035</v>
      </c>
      <c r="D5" t="s">
        <v>5</v>
      </c>
      <c r="E5">
        <v>0.65</v>
      </c>
      <c r="F5" t="s">
        <v>143</v>
      </c>
    </row>
    <row r="6" spans="1:6" x14ac:dyDescent="0.3">
      <c r="A6" t="s">
        <v>205</v>
      </c>
      <c r="B6" t="s">
        <v>180</v>
      </c>
      <c r="C6">
        <v>2040</v>
      </c>
      <c r="D6" t="s">
        <v>5</v>
      </c>
      <c r="E6">
        <v>0.7</v>
      </c>
      <c r="F6" t="s">
        <v>143</v>
      </c>
    </row>
    <row r="7" spans="1:6" x14ac:dyDescent="0.3">
      <c r="A7" t="s">
        <v>205</v>
      </c>
      <c r="B7" t="s">
        <v>180</v>
      </c>
      <c r="C7">
        <v>2045</v>
      </c>
      <c r="D7" t="s">
        <v>5</v>
      </c>
      <c r="E7">
        <v>0.75</v>
      </c>
      <c r="F7" t="s">
        <v>143</v>
      </c>
    </row>
    <row r="8" spans="1:6" x14ac:dyDescent="0.3">
      <c r="A8" t="s">
        <v>205</v>
      </c>
      <c r="B8" t="s">
        <v>180</v>
      </c>
      <c r="C8">
        <v>2050</v>
      </c>
      <c r="D8" t="s">
        <v>5</v>
      </c>
      <c r="E8">
        <v>1</v>
      </c>
      <c r="F8" t="s">
        <v>143</v>
      </c>
    </row>
    <row r="9" spans="1:6" x14ac:dyDescent="0.3">
      <c r="A9" t="s">
        <v>205</v>
      </c>
      <c r="B9" t="s">
        <v>180</v>
      </c>
      <c r="C9">
        <v>2055</v>
      </c>
      <c r="D9" t="s">
        <v>5</v>
      </c>
      <c r="E9">
        <v>1</v>
      </c>
      <c r="F9" t="s">
        <v>143</v>
      </c>
    </row>
    <row r="10" spans="1:6" x14ac:dyDescent="0.3">
      <c r="A10" t="s">
        <v>205</v>
      </c>
      <c r="B10" t="s">
        <v>180</v>
      </c>
      <c r="C10">
        <v>2060</v>
      </c>
      <c r="D10" t="s">
        <v>5</v>
      </c>
      <c r="E10">
        <v>1</v>
      </c>
      <c r="F10" t="s">
        <v>143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00000"/>
  </sheetPr>
  <dimension ref="A1:AD73"/>
  <sheetViews>
    <sheetView zoomScaleNormal="100" workbookViewId="0">
      <pane ySplit="1" topLeftCell="A2" activePane="bottomLeft" state="frozen"/>
      <selection pane="bottomLeft" activeCell="F3" sqref="F3:G5"/>
    </sheetView>
  </sheetViews>
  <sheetFormatPr defaultColWidth="8.77734375" defaultRowHeight="14.4" x14ac:dyDescent="0.3"/>
  <cols>
    <col min="1" max="1" width="27" customWidth="1"/>
    <col min="2" max="2" width="20.109375" customWidth="1"/>
    <col min="3" max="4" width="45.33203125" bestFit="1" customWidth="1"/>
    <col min="9" max="9" width="21.109375" bestFit="1" customWidth="1"/>
    <col min="12" max="12" width="10.109375" bestFit="1" customWidth="1"/>
  </cols>
  <sheetData>
    <row r="1" spans="1:10" x14ac:dyDescent="0.3">
      <c r="A1" s="12" t="s">
        <v>29</v>
      </c>
      <c r="B1" s="12" t="s">
        <v>124</v>
      </c>
      <c r="C1" s="12" t="s">
        <v>30</v>
      </c>
      <c r="D1" s="12" t="s">
        <v>31</v>
      </c>
      <c r="E1" s="12" t="s">
        <v>57</v>
      </c>
      <c r="F1" s="12" t="s">
        <v>58</v>
      </c>
      <c r="G1" s="12" t="s">
        <v>59</v>
      </c>
      <c r="H1" s="12" t="s">
        <v>123</v>
      </c>
      <c r="I1" s="9" t="s">
        <v>149</v>
      </c>
      <c r="J1" s="9" t="s">
        <v>150</v>
      </c>
    </row>
    <row r="2" spans="1:10" x14ac:dyDescent="0.3">
      <c r="A2" s="10" t="s">
        <v>131</v>
      </c>
      <c r="B2" t="s">
        <v>6</v>
      </c>
      <c r="C2" t="s">
        <v>136</v>
      </c>
      <c r="D2" t="s">
        <v>32</v>
      </c>
      <c r="H2" s="6" t="s">
        <v>120</v>
      </c>
      <c r="I2" s="71" t="s">
        <v>162</v>
      </c>
    </row>
    <row r="3" spans="1:10" x14ac:dyDescent="0.3">
      <c r="A3" s="10" t="s">
        <v>131</v>
      </c>
      <c r="B3" t="s">
        <v>6</v>
      </c>
      <c r="C3" t="s">
        <v>136</v>
      </c>
      <c r="D3" t="s">
        <v>161</v>
      </c>
      <c r="H3" s="6" t="s">
        <v>120</v>
      </c>
      <c r="I3" s="71" t="s">
        <v>162</v>
      </c>
    </row>
    <row r="4" spans="1:10" x14ac:dyDescent="0.3">
      <c r="A4" s="10" t="s">
        <v>131</v>
      </c>
      <c r="B4" t="s">
        <v>6</v>
      </c>
      <c r="C4" t="s">
        <v>137</v>
      </c>
      <c r="D4" t="s">
        <v>138</v>
      </c>
      <c r="H4" s="6" t="s">
        <v>120</v>
      </c>
      <c r="I4" s="71" t="s">
        <v>162</v>
      </c>
    </row>
    <row r="5" spans="1:10" x14ac:dyDescent="0.3">
      <c r="A5" s="10" t="s">
        <v>131</v>
      </c>
      <c r="B5" t="s">
        <v>6</v>
      </c>
      <c r="C5" t="s">
        <v>132</v>
      </c>
      <c r="D5" t="s">
        <v>130</v>
      </c>
      <c r="H5" s="6" t="s">
        <v>120</v>
      </c>
      <c r="I5" s="71" t="s">
        <v>162</v>
      </c>
    </row>
    <row r="6" spans="1:10" x14ac:dyDescent="0.3">
      <c r="A6" s="10" t="s">
        <v>183</v>
      </c>
      <c r="B6" t="s">
        <v>6</v>
      </c>
      <c r="C6" t="s">
        <v>49</v>
      </c>
      <c r="D6" t="s">
        <v>49</v>
      </c>
      <c r="E6" t="s">
        <v>9</v>
      </c>
      <c r="F6">
        <v>0</v>
      </c>
      <c r="G6">
        <v>1</v>
      </c>
      <c r="H6" s="6" t="s">
        <v>120</v>
      </c>
      <c r="I6" s="71" t="s">
        <v>162</v>
      </c>
    </row>
    <row r="7" spans="1:10" x14ac:dyDescent="0.3">
      <c r="A7" s="10" t="s">
        <v>183</v>
      </c>
      <c r="B7" t="s">
        <v>6</v>
      </c>
      <c r="C7" t="s">
        <v>166</v>
      </c>
      <c r="D7" t="s">
        <v>166</v>
      </c>
      <c r="E7" t="s">
        <v>9</v>
      </c>
      <c r="F7">
        <v>0</v>
      </c>
      <c r="G7">
        <v>1</v>
      </c>
      <c r="H7" s="6" t="s">
        <v>120</v>
      </c>
      <c r="I7" s="71" t="s">
        <v>162</v>
      </c>
    </row>
    <row r="8" spans="1:10" x14ac:dyDescent="0.3">
      <c r="A8" s="10" t="s">
        <v>183</v>
      </c>
      <c r="B8" t="s">
        <v>6</v>
      </c>
      <c r="C8" t="s">
        <v>167</v>
      </c>
      <c r="D8" t="s">
        <v>167</v>
      </c>
      <c r="E8" t="s">
        <v>9</v>
      </c>
      <c r="F8">
        <v>0</v>
      </c>
      <c r="G8">
        <v>1</v>
      </c>
      <c r="H8" s="6" t="s">
        <v>120</v>
      </c>
      <c r="I8" s="71" t="s">
        <v>162</v>
      </c>
    </row>
    <row r="9" spans="1:10" x14ac:dyDescent="0.3">
      <c r="A9" s="10" t="s">
        <v>190</v>
      </c>
      <c r="B9" t="s">
        <v>6</v>
      </c>
      <c r="C9" t="s">
        <v>49</v>
      </c>
      <c r="D9" t="s">
        <v>49</v>
      </c>
      <c r="E9" t="s">
        <v>9</v>
      </c>
      <c r="F9">
        <v>0.8</v>
      </c>
      <c r="G9">
        <v>0</v>
      </c>
      <c r="H9" s="6" t="s">
        <v>126</v>
      </c>
      <c r="I9" s="71" t="s">
        <v>191</v>
      </c>
    </row>
    <row r="10" spans="1:10" x14ac:dyDescent="0.3">
      <c r="A10" s="10" t="s">
        <v>190</v>
      </c>
      <c r="B10" t="s">
        <v>192</v>
      </c>
      <c r="C10" t="s">
        <v>193</v>
      </c>
      <c r="D10" t="s">
        <v>193</v>
      </c>
      <c r="E10" t="s">
        <v>9</v>
      </c>
      <c r="F10">
        <v>0.8</v>
      </c>
      <c r="G10">
        <v>0</v>
      </c>
      <c r="H10" s="6" t="s">
        <v>126</v>
      </c>
      <c r="I10" s="71" t="s">
        <v>194</v>
      </c>
    </row>
    <row r="11" spans="1:10" x14ac:dyDescent="0.3">
      <c r="A11" s="10" t="s">
        <v>199</v>
      </c>
      <c r="B11" t="s">
        <v>197</v>
      </c>
      <c r="C11" t="s">
        <v>200</v>
      </c>
      <c r="D11" t="s">
        <v>200</v>
      </c>
      <c r="E11" t="s">
        <v>9</v>
      </c>
      <c r="F11">
        <v>0</v>
      </c>
      <c r="G11">
        <v>-1E-4</v>
      </c>
      <c r="H11" s="6" t="s">
        <v>120</v>
      </c>
      <c r="I11" s="71" t="s">
        <v>198</v>
      </c>
    </row>
    <row r="12" spans="1:10" x14ac:dyDescent="0.3">
      <c r="A12" s="10" t="s">
        <v>201</v>
      </c>
      <c r="B12" t="s">
        <v>6</v>
      </c>
      <c r="C12" t="s">
        <v>135</v>
      </c>
      <c r="D12" t="s">
        <v>135</v>
      </c>
      <c r="E12" t="s">
        <v>9</v>
      </c>
      <c r="F12">
        <v>0</v>
      </c>
      <c r="G12">
        <v>0.3</v>
      </c>
      <c r="H12" s="6" t="s">
        <v>120</v>
      </c>
      <c r="I12" s="71" t="s">
        <v>202</v>
      </c>
    </row>
    <row r="13" spans="1:10" x14ac:dyDescent="0.3">
      <c r="A13" s="10" t="s">
        <v>199</v>
      </c>
      <c r="B13" t="s">
        <v>197</v>
      </c>
      <c r="C13" t="s">
        <v>219</v>
      </c>
      <c r="D13" t="s">
        <v>217</v>
      </c>
      <c r="E13" t="s">
        <v>9</v>
      </c>
      <c r="F13">
        <v>0</v>
      </c>
      <c r="G13">
        <v>29.75</v>
      </c>
      <c r="H13" s="6" t="s">
        <v>120</v>
      </c>
      <c r="I13" s="71" t="s">
        <v>233</v>
      </c>
    </row>
    <row r="14" spans="1:10" x14ac:dyDescent="0.3">
      <c r="A14" s="10" t="s">
        <v>199</v>
      </c>
      <c r="B14" t="s">
        <v>197</v>
      </c>
      <c r="C14" t="s">
        <v>220</v>
      </c>
      <c r="D14" t="s">
        <v>217</v>
      </c>
      <c r="E14" t="s">
        <v>9</v>
      </c>
      <c r="F14">
        <v>0</v>
      </c>
      <c r="G14">
        <v>26.092194000000006</v>
      </c>
      <c r="H14" s="6" t="s">
        <v>120</v>
      </c>
      <c r="I14" s="71" t="s">
        <v>233</v>
      </c>
    </row>
    <row r="15" spans="1:10" x14ac:dyDescent="0.3">
      <c r="A15" s="10" t="s">
        <v>199</v>
      </c>
      <c r="B15" t="s">
        <v>197</v>
      </c>
      <c r="C15" t="s">
        <v>221</v>
      </c>
      <c r="D15" t="s">
        <v>217</v>
      </c>
      <c r="E15" t="s">
        <v>9</v>
      </c>
      <c r="F15">
        <v>0</v>
      </c>
      <c r="G15">
        <v>51.716700999999986</v>
      </c>
      <c r="H15" s="6" t="s">
        <v>120</v>
      </c>
      <c r="I15" s="71" t="s">
        <v>233</v>
      </c>
    </row>
    <row r="16" spans="1:10" x14ac:dyDescent="0.3">
      <c r="A16" s="10" t="s">
        <v>199</v>
      </c>
      <c r="B16" t="s">
        <v>197</v>
      </c>
      <c r="C16" s="94" t="s">
        <v>222</v>
      </c>
      <c r="D16" t="s">
        <v>217</v>
      </c>
      <c r="E16" t="s">
        <v>9</v>
      </c>
      <c r="F16">
        <v>0</v>
      </c>
      <c r="G16">
        <v>68.710496249999977</v>
      </c>
      <c r="H16" s="6" t="s">
        <v>120</v>
      </c>
      <c r="I16" s="71" t="s">
        <v>233</v>
      </c>
    </row>
    <row r="17" spans="1:12" x14ac:dyDescent="0.3">
      <c r="A17" s="10" t="s">
        <v>199</v>
      </c>
      <c r="B17" t="s">
        <v>197</v>
      </c>
      <c r="C17" s="94" t="s">
        <v>223</v>
      </c>
      <c r="D17" t="s">
        <v>217</v>
      </c>
      <c r="E17" t="s">
        <v>9</v>
      </c>
      <c r="F17">
        <v>0</v>
      </c>
      <c r="G17">
        <v>71.473909906249958</v>
      </c>
      <c r="H17" s="6" t="s">
        <v>120</v>
      </c>
      <c r="I17" s="71" t="s">
        <v>233</v>
      </c>
    </row>
    <row r="18" spans="1:12" x14ac:dyDescent="0.3">
      <c r="A18" s="10" t="s">
        <v>199</v>
      </c>
      <c r="B18" t="s">
        <v>197</v>
      </c>
      <c r="C18" s="94" t="s">
        <v>224</v>
      </c>
      <c r="D18" t="s">
        <v>217</v>
      </c>
      <c r="E18" t="s">
        <v>9</v>
      </c>
      <c r="F18">
        <v>0</v>
      </c>
      <c r="G18">
        <v>73.646873753906192</v>
      </c>
      <c r="H18" s="6" t="s">
        <v>120</v>
      </c>
      <c r="I18" s="71" t="s">
        <v>233</v>
      </c>
      <c r="L18" s="95"/>
    </row>
    <row r="19" spans="1:12" x14ac:dyDescent="0.3">
      <c r="A19" s="10" t="s">
        <v>199</v>
      </c>
      <c r="B19" t="s">
        <v>197</v>
      </c>
      <c r="C19" s="94" t="s">
        <v>225</v>
      </c>
      <c r="D19" t="s">
        <v>217</v>
      </c>
      <c r="E19" t="s">
        <v>9</v>
      </c>
      <c r="F19">
        <v>0</v>
      </c>
      <c r="G19">
        <v>76.738638322753857</v>
      </c>
      <c r="H19" s="6" t="s">
        <v>120</v>
      </c>
      <c r="I19" s="71" t="s">
        <v>233</v>
      </c>
      <c r="L19" s="95"/>
    </row>
    <row r="20" spans="1:12" x14ac:dyDescent="0.3">
      <c r="A20" s="10" t="s">
        <v>199</v>
      </c>
      <c r="B20" t="s">
        <v>197</v>
      </c>
      <c r="C20" s="94" t="s">
        <v>226</v>
      </c>
      <c r="D20" t="s">
        <v>217</v>
      </c>
      <c r="E20" t="s">
        <v>9</v>
      </c>
      <c r="F20">
        <v>0</v>
      </c>
      <c r="G20">
        <v>80.049527030822674</v>
      </c>
      <c r="H20" s="6" t="s">
        <v>120</v>
      </c>
      <c r="I20" s="71" t="s">
        <v>233</v>
      </c>
      <c r="L20" s="95"/>
    </row>
    <row r="21" spans="1:12" x14ac:dyDescent="0.3">
      <c r="A21" s="10" t="s">
        <v>199</v>
      </c>
      <c r="B21" t="s">
        <v>197</v>
      </c>
      <c r="C21" s="94" t="s">
        <v>234</v>
      </c>
      <c r="D21" t="s">
        <v>217</v>
      </c>
      <c r="E21" t="s">
        <v>9</v>
      </c>
      <c r="F21">
        <v>0</v>
      </c>
      <c r="G21">
        <v>83.441086356593217</v>
      </c>
      <c r="H21" s="6" t="s">
        <v>120</v>
      </c>
      <c r="I21" s="71" t="s">
        <v>233</v>
      </c>
      <c r="L21" s="95"/>
    </row>
    <row r="22" spans="1:12" x14ac:dyDescent="0.3">
      <c r="A22" s="10" t="s">
        <v>199</v>
      </c>
      <c r="B22" t="s">
        <v>197</v>
      </c>
      <c r="C22" s="94" t="s">
        <v>227</v>
      </c>
      <c r="D22" t="s">
        <v>217</v>
      </c>
      <c r="E22" t="s">
        <v>9</v>
      </c>
      <c r="F22">
        <v>0</v>
      </c>
      <c r="G22">
        <v>86.915334040508043</v>
      </c>
      <c r="H22" s="6" t="s">
        <v>120</v>
      </c>
      <c r="I22" s="71" t="s">
        <v>233</v>
      </c>
      <c r="L22" s="95"/>
    </row>
    <row r="23" spans="1:12" x14ac:dyDescent="0.3">
      <c r="A23" s="10" t="s">
        <v>199</v>
      </c>
      <c r="B23" t="s">
        <v>197</v>
      </c>
      <c r="C23" s="94" t="s">
        <v>228</v>
      </c>
      <c r="D23" t="s">
        <v>217</v>
      </c>
      <c r="E23" t="s">
        <v>9</v>
      </c>
      <c r="F23">
        <v>0</v>
      </c>
      <c r="G23">
        <v>90.474346316520723</v>
      </c>
      <c r="H23" s="6" t="s">
        <v>120</v>
      </c>
      <c r="I23" s="71" t="s">
        <v>233</v>
      </c>
      <c r="L23" s="95"/>
    </row>
    <row r="24" spans="1:12" x14ac:dyDescent="0.3">
      <c r="A24" s="10" t="s">
        <v>199</v>
      </c>
      <c r="B24" t="s">
        <v>197</v>
      </c>
      <c r="C24" s="94" t="s">
        <v>229</v>
      </c>
      <c r="D24" t="s">
        <v>217</v>
      </c>
      <c r="E24" t="s">
        <v>9</v>
      </c>
      <c r="F24">
        <v>0</v>
      </c>
      <c r="G24">
        <v>94.041411174433733</v>
      </c>
      <c r="H24" s="6" t="s">
        <v>120</v>
      </c>
      <c r="I24" s="71" t="s">
        <v>233</v>
      </c>
      <c r="L24" s="95"/>
    </row>
    <row r="25" spans="1:12" x14ac:dyDescent="0.3">
      <c r="A25" s="10" t="s">
        <v>199</v>
      </c>
      <c r="B25" t="s">
        <v>197</v>
      </c>
      <c r="C25" s="94" t="s">
        <v>230</v>
      </c>
      <c r="D25" t="s">
        <v>217</v>
      </c>
      <c r="E25" t="s">
        <v>9</v>
      </c>
      <c r="F25">
        <v>0</v>
      </c>
      <c r="G25">
        <v>97.697652653794563</v>
      </c>
      <c r="H25" s="6" t="s">
        <v>120</v>
      </c>
      <c r="I25" s="71" t="s">
        <v>233</v>
      </c>
      <c r="L25" s="95"/>
    </row>
    <row r="26" spans="1:12" x14ac:dyDescent="0.3">
      <c r="A26" s="10" t="s">
        <v>199</v>
      </c>
      <c r="B26" t="s">
        <v>197</v>
      </c>
      <c r="C26" s="94" t="s">
        <v>231</v>
      </c>
      <c r="D26" t="s">
        <v>217</v>
      </c>
      <c r="E26" t="s">
        <v>9</v>
      </c>
      <c r="F26">
        <v>0</v>
      </c>
      <c r="G26">
        <v>101.4453001701394</v>
      </c>
      <c r="H26" s="6" t="s">
        <v>120</v>
      </c>
      <c r="I26" s="71" t="s">
        <v>233</v>
      </c>
      <c r="L26" s="95"/>
    </row>
    <row r="27" spans="1:12" x14ac:dyDescent="0.3">
      <c r="A27" s="10" t="s">
        <v>199</v>
      </c>
      <c r="B27" t="s">
        <v>197</v>
      </c>
      <c r="C27" s="94" t="s">
        <v>232</v>
      </c>
      <c r="D27" t="s">
        <v>217</v>
      </c>
      <c r="E27" t="s">
        <v>9</v>
      </c>
      <c r="F27">
        <v>0</v>
      </c>
      <c r="G27">
        <v>105.28663887439288</v>
      </c>
      <c r="H27" s="6" t="s">
        <v>120</v>
      </c>
      <c r="I27" s="71" t="s">
        <v>233</v>
      </c>
      <c r="L27" s="95"/>
    </row>
    <row r="28" spans="1:12" x14ac:dyDescent="0.3">
      <c r="L28" s="95"/>
    </row>
    <row r="29" spans="1:12" x14ac:dyDescent="0.3">
      <c r="L29" s="95"/>
    </row>
    <row r="30" spans="1:12" x14ac:dyDescent="0.3">
      <c r="L30" s="95"/>
    </row>
    <row r="31" spans="1:12" x14ac:dyDescent="0.3">
      <c r="L31" s="95"/>
    </row>
    <row r="45" spans="9:9" x14ac:dyDescent="0.3">
      <c r="I45" s="13"/>
    </row>
    <row r="66" spans="9:30" x14ac:dyDescent="0.3">
      <c r="I66" s="13"/>
      <c r="J66" s="13"/>
    </row>
    <row r="73" spans="9:30" x14ac:dyDescent="0.3">
      <c r="X73" s="60"/>
      <c r="Y73" s="60"/>
      <c r="Z73" s="60"/>
      <c r="AA73" s="60"/>
      <c r="AB73" s="60"/>
      <c r="AC73" s="60"/>
      <c r="AD73" s="60"/>
    </row>
  </sheetData>
  <phoneticPr fontId="10" type="noConversion"/>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00000"/>
  </sheetPr>
  <dimension ref="A1:H10"/>
  <sheetViews>
    <sheetView workbookViewId="0">
      <selection activeCell="M23" sqref="M23"/>
    </sheetView>
  </sheetViews>
  <sheetFormatPr defaultColWidth="8.77734375" defaultRowHeight="14.4" x14ac:dyDescent="0.3"/>
  <cols>
    <col min="1" max="1" width="20.109375" customWidth="1"/>
    <col min="2" max="2" width="21" customWidth="1"/>
    <col min="3" max="3" width="25.6640625" customWidth="1"/>
    <col min="4" max="4" width="19.6640625" customWidth="1"/>
    <col min="5" max="5" width="10.44140625" bestFit="1" customWidth="1"/>
  </cols>
  <sheetData>
    <row r="1" spans="1:8" x14ac:dyDescent="0.3">
      <c r="A1" s="12" t="s">
        <v>29</v>
      </c>
      <c r="B1" s="12" t="s">
        <v>124</v>
      </c>
      <c r="C1" s="12" t="s">
        <v>125</v>
      </c>
      <c r="D1" s="12" t="s">
        <v>57</v>
      </c>
      <c r="E1" s="12" t="s">
        <v>9</v>
      </c>
      <c r="F1" s="12" t="s">
        <v>123</v>
      </c>
      <c r="G1" s="9" t="s">
        <v>150</v>
      </c>
    </row>
    <row r="2" spans="1:8" x14ac:dyDescent="0.3">
      <c r="A2" t="s">
        <v>144</v>
      </c>
      <c r="B2" t="s">
        <v>6</v>
      </c>
      <c r="C2" t="s">
        <v>151</v>
      </c>
      <c r="D2" t="s">
        <v>6</v>
      </c>
      <c r="E2" t="s">
        <v>157</v>
      </c>
      <c r="F2" s="6" t="s">
        <v>126</v>
      </c>
      <c r="H2" t="s">
        <v>162</v>
      </c>
    </row>
    <row r="3" spans="1:8" x14ac:dyDescent="0.3">
      <c r="A3" t="s">
        <v>144</v>
      </c>
      <c r="B3" t="s">
        <v>6</v>
      </c>
      <c r="C3" t="s">
        <v>157</v>
      </c>
      <c r="D3" t="s">
        <v>34</v>
      </c>
      <c r="E3" t="s">
        <v>40</v>
      </c>
      <c r="F3" s="6" t="s">
        <v>126</v>
      </c>
      <c r="H3" t="s">
        <v>162</v>
      </c>
    </row>
    <row r="4" spans="1:8" x14ac:dyDescent="0.3">
      <c r="A4" t="s">
        <v>144</v>
      </c>
      <c r="B4" t="s">
        <v>6</v>
      </c>
      <c r="C4" t="s">
        <v>157</v>
      </c>
      <c r="D4" t="s">
        <v>33</v>
      </c>
      <c r="E4" t="s">
        <v>39</v>
      </c>
      <c r="F4" s="6" t="s">
        <v>126</v>
      </c>
      <c r="H4" t="s">
        <v>162</v>
      </c>
    </row>
    <row r="5" spans="1:8" x14ac:dyDescent="0.3">
      <c r="A5" t="s">
        <v>148</v>
      </c>
      <c r="B5" t="s">
        <v>6</v>
      </c>
      <c r="C5" t="s">
        <v>151</v>
      </c>
      <c r="D5" t="s">
        <v>6</v>
      </c>
      <c r="E5" t="s">
        <v>157</v>
      </c>
      <c r="F5" s="6" t="s">
        <v>126</v>
      </c>
      <c r="H5" t="s">
        <v>162</v>
      </c>
    </row>
    <row r="6" spans="1:8" x14ac:dyDescent="0.3">
      <c r="A6" t="s">
        <v>144</v>
      </c>
      <c r="B6" t="s">
        <v>6</v>
      </c>
      <c r="C6" t="s">
        <v>134</v>
      </c>
      <c r="D6" t="s">
        <v>34</v>
      </c>
      <c r="E6" t="s">
        <v>51</v>
      </c>
      <c r="F6" s="6" t="s">
        <v>120</v>
      </c>
      <c r="H6" t="s">
        <v>162</v>
      </c>
    </row>
    <row r="7" spans="1:8" x14ac:dyDescent="0.3">
      <c r="A7" t="s">
        <v>144</v>
      </c>
      <c r="B7" t="s">
        <v>6</v>
      </c>
      <c r="C7" t="s">
        <v>133</v>
      </c>
      <c r="D7" t="s">
        <v>34</v>
      </c>
      <c r="E7" t="s">
        <v>51</v>
      </c>
      <c r="F7" s="6" t="s">
        <v>120</v>
      </c>
      <c r="H7" t="s">
        <v>162</v>
      </c>
    </row>
    <row r="8" spans="1:8" x14ac:dyDescent="0.3">
      <c r="A8" t="s">
        <v>144</v>
      </c>
      <c r="B8" t="s">
        <v>159</v>
      </c>
      <c r="C8" t="s">
        <v>181</v>
      </c>
      <c r="D8" t="s">
        <v>35</v>
      </c>
      <c r="E8" t="s">
        <v>180</v>
      </c>
      <c r="F8" s="6" t="s">
        <v>120</v>
      </c>
      <c r="H8" t="s">
        <v>162</v>
      </c>
    </row>
    <row r="9" spans="1:8" x14ac:dyDescent="0.3">
      <c r="A9" t="s">
        <v>144</v>
      </c>
      <c r="B9" t="s">
        <v>159</v>
      </c>
      <c r="C9" t="s">
        <v>182</v>
      </c>
      <c r="D9" t="s">
        <v>35</v>
      </c>
      <c r="E9" t="s">
        <v>180</v>
      </c>
      <c r="F9" s="6" t="s">
        <v>120</v>
      </c>
      <c r="H9" t="s">
        <v>162</v>
      </c>
    </row>
    <row r="10" spans="1:8" x14ac:dyDescent="0.3">
      <c r="A10" t="s">
        <v>131</v>
      </c>
      <c r="B10" t="s">
        <v>6</v>
      </c>
      <c r="C10" t="s">
        <v>25</v>
      </c>
      <c r="D10" t="s">
        <v>6</v>
      </c>
      <c r="E10" t="s">
        <v>106</v>
      </c>
      <c r="F10" s="6" t="s">
        <v>120</v>
      </c>
      <c r="H10" t="s">
        <v>162</v>
      </c>
    </row>
  </sheetData>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00000"/>
  </sheetPr>
  <dimension ref="A1:G4"/>
  <sheetViews>
    <sheetView workbookViewId="0">
      <selection activeCell="D4" sqref="D4"/>
    </sheetView>
  </sheetViews>
  <sheetFormatPr defaultColWidth="8.77734375" defaultRowHeight="14.4" x14ac:dyDescent="0.3"/>
  <cols>
    <col min="1" max="1" width="25.77734375" customWidth="1"/>
    <col min="2" max="2" width="13.33203125" customWidth="1"/>
    <col min="3" max="3" width="10.77734375" customWidth="1"/>
    <col min="4" max="4" width="15.109375" customWidth="1"/>
    <col min="5" max="5" width="12" customWidth="1"/>
  </cols>
  <sheetData>
    <row r="1" spans="1:7" s="12" customFormat="1" x14ac:dyDescent="0.3">
      <c r="A1" s="12" t="s">
        <v>29</v>
      </c>
      <c r="B1" s="12" t="s">
        <v>124</v>
      </c>
      <c r="C1" s="12" t="s">
        <v>125</v>
      </c>
      <c r="D1" s="12" t="s">
        <v>55</v>
      </c>
      <c r="E1" s="12" t="s">
        <v>56</v>
      </c>
      <c r="F1" s="12" t="s">
        <v>123</v>
      </c>
      <c r="G1" s="12" t="s">
        <v>150</v>
      </c>
    </row>
    <row r="2" spans="1:7" x14ac:dyDescent="0.3">
      <c r="A2" t="s">
        <v>144</v>
      </c>
      <c r="B2" t="s">
        <v>6</v>
      </c>
      <c r="C2" t="s">
        <v>134</v>
      </c>
      <c r="D2" t="s">
        <v>35</v>
      </c>
      <c r="E2" t="s">
        <v>147</v>
      </c>
      <c r="F2" s="6" t="s">
        <v>120</v>
      </c>
      <c r="G2" s="71" t="s">
        <v>162</v>
      </c>
    </row>
    <row r="3" spans="1:7" x14ac:dyDescent="0.3">
      <c r="A3" t="s">
        <v>144</v>
      </c>
      <c r="B3" t="s">
        <v>6</v>
      </c>
      <c r="C3" t="s">
        <v>133</v>
      </c>
      <c r="D3" t="s">
        <v>35</v>
      </c>
      <c r="E3" t="s">
        <v>147</v>
      </c>
      <c r="F3" s="6" t="s">
        <v>120</v>
      </c>
      <c r="G3" s="71" t="s">
        <v>162</v>
      </c>
    </row>
    <row r="4" spans="1:7" x14ac:dyDescent="0.3">
      <c r="A4" t="s">
        <v>160</v>
      </c>
      <c r="B4" t="s">
        <v>6</v>
      </c>
      <c r="C4" t="s">
        <v>49</v>
      </c>
      <c r="F4" s="6" t="s">
        <v>120</v>
      </c>
    </row>
  </sheetData>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F12"/>
  <sheetViews>
    <sheetView workbookViewId="0">
      <selection activeCell="H12" sqref="H12"/>
    </sheetView>
  </sheetViews>
  <sheetFormatPr defaultColWidth="8.77734375" defaultRowHeight="14.4" x14ac:dyDescent="0.3"/>
  <cols>
    <col min="2" max="2" width="13.44140625" customWidth="1"/>
    <col min="5" max="5" width="75.77734375" bestFit="1" customWidth="1"/>
  </cols>
  <sheetData>
    <row r="1" spans="1:6" x14ac:dyDescent="0.3">
      <c r="A1" s="3" t="s">
        <v>7</v>
      </c>
      <c r="B1" s="2" t="s">
        <v>6</v>
      </c>
      <c r="C1" s="3" t="s">
        <v>8</v>
      </c>
      <c r="D1" s="5" t="s">
        <v>9</v>
      </c>
      <c r="E1" s="11" t="s">
        <v>37</v>
      </c>
      <c r="F1" s="9" t="s">
        <v>119</v>
      </c>
    </row>
    <row r="2" spans="1:6" x14ac:dyDescent="0.3">
      <c r="A2" t="s">
        <v>180</v>
      </c>
      <c r="B2" t="s">
        <v>38</v>
      </c>
      <c r="C2" t="s">
        <v>5</v>
      </c>
      <c r="D2">
        <v>5</v>
      </c>
      <c r="E2" s="1" t="s">
        <v>146</v>
      </c>
      <c r="F2" s="6" t="s">
        <v>120</v>
      </c>
    </row>
    <row r="3" spans="1:6" x14ac:dyDescent="0.3">
      <c r="A3" t="s">
        <v>180</v>
      </c>
      <c r="B3" t="s">
        <v>41</v>
      </c>
      <c r="C3" t="s">
        <v>5</v>
      </c>
      <c r="D3">
        <v>5</v>
      </c>
      <c r="E3" s="1" t="s">
        <v>146</v>
      </c>
      <c r="F3" s="6" t="s">
        <v>120</v>
      </c>
    </row>
    <row r="4" spans="1:6" x14ac:dyDescent="0.3">
      <c r="A4" t="s">
        <v>180</v>
      </c>
      <c r="B4" t="s">
        <v>42</v>
      </c>
      <c r="C4" t="s">
        <v>5</v>
      </c>
      <c r="D4">
        <v>5</v>
      </c>
      <c r="E4" s="1" t="s">
        <v>146</v>
      </c>
      <c r="F4" s="6" t="s">
        <v>120</v>
      </c>
    </row>
    <row r="5" spans="1:6" x14ac:dyDescent="0.3">
      <c r="A5" t="s">
        <v>180</v>
      </c>
      <c r="B5" t="s">
        <v>43</v>
      </c>
      <c r="C5" t="s">
        <v>5</v>
      </c>
      <c r="D5">
        <v>5</v>
      </c>
      <c r="E5" s="1" t="s">
        <v>146</v>
      </c>
      <c r="F5" s="6" t="s">
        <v>120</v>
      </c>
    </row>
    <row r="6" spans="1:6" x14ac:dyDescent="0.3">
      <c r="A6" t="s">
        <v>180</v>
      </c>
      <c r="B6" t="s">
        <v>44</v>
      </c>
      <c r="C6" t="s">
        <v>5</v>
      </c>
      <c r="D6">
        <v>5</v>
      </c>
      <c r="E6" s="1" t="s">
        <v>146</v>
      </c>
      <c r="F6" s="6" t="s">
        <v>120</v>
      </c>
    </row>
    <row r="7" spans="1:6" x14ac:dyDescent="0.3">
      <c r="A7" t="s">
        <v>180</v>
      </c>
      <c r="B7" t="s">
        <v>45</v>
      </c>
      <c r="C7" t="s">
        <v>5</v>
      </c>
      <c r="D7">
        <v>5</v>
      </c>
      <c r="E7" s="1" t="s">
        <v>146</v>
      </c>
      <c r="F7" s="6" t="s">
        <v>120</v>
      </c>
    </row>
    <row r="8" spans="1:6" x14ac:dyDescent="0.3">
      <c r="A8" t="s">
        <v>180</v>
      </c>
      <c r="B8" t="s">
        <v>48</v>
      </c>
      <c r="C8" t="s">
        <v>5</v>
      </c>
      <c r="D8">
        <v>5</v>
      </c>
      <c r="E8" s="1" t="s">
        <v>146</v>
      </c>
      <c r="F8" s="6" t="s">
        <v>120</v>
      </c>
    </row>
    <row r="9" spans="1:6" x14ac:dyDescent="0.3">
      <c r="A9" t="s">
        <v>180</v>
      </c>
      <c r="B9" t="s">
        <v>22</v>
      </c>
      <c r="C9" t="s">
        <v>5</v>
      </c>
      <c r="D9">
        <v>5</v>
      </c>
      <c r="E9" s="1" t="s">
        <v>146</v>
      </c>
      <c r="F9" s="6" t="s">
        <v>120</v>
      </c>
    </row>
    <row r="10" spans="1:6" x14ac:dyDescent="0.3">
      <c r="E10" s="1"/>
    </row>
    <row r="11" spans="1:6" x14ac:dyDescent="0.3">
      <c r="E11" s="1"/>
    </row>
    <row r="12" spans="1:6" x14ac:dyDescent="0.3">
      <c r="E12" s="1"/>
    </row>
  </sheetData>
  <autoFilter ref="A1:E1" xr:uid="{00000000-0009-0000-0000-000011000000}">
    <sortState xmlns:xlrd2="http://schemas.microsoft.com/office/spreadsheetml/2017/richdata2" ref="A2:E25">
      <sortCondition ref="B1"/>
    </sortState>
  </autoFilter>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L16"/>
  <sheetViews>
    <sheetView workbookViewId="0">
      <selection activeCell="A11" sqref="A11"/>
    </sheetView>
  </sheetViews>
  <sheetFormatPr defaultColWidth="8.77734375" defaultRowHeight="14.4" x14ac:dyDescent="0.3"/>
  <cols>
    <col min="1" max="1" width="12.77734375" customWidth="1"/>
    <col min="2" max="2" width="13.33203125" customWidth="1"/>
    <col min="3" max="3" width="11.109375" customWidth="1"/>
    <col min="6" max="6" width="13.44140625" customWidth="1"/>
    <col min="8" max="8" width="12.44140625" customWidth="1"/>
    <col min="10" max="10" width="10.109375" customWidth="1"/>
    <col min="11" max="11" width="9.77734375" customWidth="1"/>
  </cols>
  <sheetData>
    <row r="1" spans="1:12" x14ac:dyDescent="0.3">
      <c r="A1" s="11" t="s">
        <v>6</v>
      </c>
      <c r="B1" s="11" t="s">
        <v>33</v>
      </c>
      <c r="C1" s="11" t="s">
        <v>34</v>
      </c>
      <c r="D1" s="11" t="s">
        <v>11</v>
      </c>
      <c r="E1" s="11" t="s">
        <v>7</v>
      </c>
      <c r="F1" s="11" t="s">
        <v>35</v>
      </c>
      <c r="G1" s="11" t="s">
        <v>12</v>
      </c>
      <c r="H1" s="11" t="s">
        <v>36</v>
      </c>
      <c r="I1" s="11" t="s">
        <v>8</v>
      </c>
      <c r="J1" s="11" t="s">
        <v>9</v>
      </c>
      <c r="K1" s="11" t="s">
        <v>119</v>
      </c>
    </row>
    <row r="2" spans="1:12" x14ac:dyDescent="0.3">
      <c r="A2" t="s">
        <v>38</v>
      </c>
      <c r="B2" t="s">
        <v>39</v>
      </c>
      <c r="C2" t="s">
        <v>40</v>
      </c>
      <c r="D2" t="s">
        <v>27</v>
      </c>
      <c r="E2" t="s">
        <v>180</v>
      </c>
      <c r="F2" t="s">
        <v>180</v>
      </c>
      <c r="G2" t="s">
        <v>5</v>
      </c>
      <c r="H2" t="s">
        <v>5</v>
      </c>
      <c r="I2" t="s">
        <v>28</v>
      </c>
      <c r="J2">
        <v>1</v>
      </c>
      <c r="K2" s="47" t="s">
        <v>120</v>
      </c>
    </row>
    <row r="3" spans="1:12" x14ac:dyDescent="0.3">
      <c r="A3" t="s">
        <v>41</v>
      </c>
      <c r="B3" t="s">
        <v>39</v>
      </c>
      <c r="C3" t="s">
        <v>40</v>
      </c>
      <c r="D3" t="s">
        <v>27</v>
      </c>
      <c r="E3" t="s">
        <v>180</v>
      </c>
      <c r="F3" t="s">
        <v>180</v>
      </c>
      <c r="G3" t="s">
        <v>5</v>
      </c>
      <c r="H3" t="s">
        <v>5</v>
      </c>
      <c r="I3" t="s">
        <v>28</v>
      </c>
      <c r="J3">
        <v>1</v>
      </c>
      <c r="K3" s="47" t="s">
        <v>120</v>
      </c>
    </row>
    <row r="4" spans="1:12" x14ac:dyDescent="0.3">
      <c r="A4" t="s">
        <v>42</v>
      </c>
      <c r="B4" t="s">
        <v>39</v>
      </c>
      <c r="C4" t="s">
        <v>40</v>
      </c>
      <c r="D4" t="s">
        <v>27</v>
      </c>
      <c r="E4" t="s">
        <v>180</v>
      </c>
      <c r="F4" t="s">
        <v>180</v>
      </c>
      <c r="G4" t="s">
        <v>5</v>
      </c>
      <c r="H4" t="s">
        <v>5</v>
      </c>
      <c r="I4" t="s">
        <v>28</v>
      </c>
      <c r="J4">
        <v>1</v>
      </c>
      <c r="K4" s="47" t="s">
        <v>120</v>
      </c>
    </row>
    <row r="5" spans="1:12" x14ac:dyDescent="0.3">
      <c r="A5" t="s">
        <v>43</v>
      </c>
      <c r="B5" t="s">
        <v>39</v>
      </c>
      <c r="C5" t="s">
        <v>40</v>
      </c>
      <c r="D5" t="s">
        <v>27</v>
      </c>
      <c r="E5" t="s">
        <v>180</v>
      </c>
      <c r="F5" t="s">
        <v>180</v>
      </c>
      <c r="G5" t="s">
        <v>5</v>
      </c>
      <c r="H5" t="s">
        <v>5</v>
      </c>
      <c r="I5" t="s">
        <v>28</v>
      </c>
      <c r="J5">
        <v>1</v>
      </c>
      <c r="K5" s="47" t="s">
        <v>120</v>
      </c>
    </row>
    <row r="6" spans="1:12" x14ac:dyDescent="0.3">
      <c r="A6" t="s">
        <v>44</v>
      </c>
      <c r="B6" t="s">
        <v>39</v>
      </c>
      <c r="C6" t="s">
        <v>40</v>
      </c>
      <c r="D6" t="s">
        <v>27</v>
      </c>
      <c r="E6" t="s">
        <v>180</v>
      </c>
      <c r="F6" t="s">
        <v>180</v>
      </c>
      <c r="G6" t="s">
        <v>5</v>
      </c>
      <c r="H6" t="s">
        <v>5</v>
      </c>
      <c r="I6" t="s">
        <v>28</v>
      </c>
      <c r="J6">
        <v>1</v>
      </c>
      <c r="K6" s="47" t="s">
        <v>120</v>
      </c>
    </row>
    <row r="7" spans="1:12" x14ac:dyDescent="0.3">
      <c r="A7" t="s">
        <v>45</v>
      </c>
      <c r="B7" t="s">
        <v>39</v>
      </c>
      <c r="C7" t="s">
        <v>40</v>
      </c>
      <c r="D7" t="s">
        <v>27</v>
      </c>
      <c r="E7" t="s">
        <v>180</v>
      </c>
      <c r="F7" t="s">
        <v>180</v>
      </c>
      <c r="G7" t="s">
        <v>5</v>
      </c>
      <c r="H7" t="s">
        <v>5</v>
      </c>
      <c r="I7" t="s">
        <v>28</v>
      </c>
      <c r="J7">
        <v>1</v>
      </c>
      <c r="K7" s="47" t="s">
        <v>120</v>
      </c>
    </row>
    <row r="8" spans="1:12" x14ac:dyDescent="0.3">
      <c r="A8" t="s">
        <v>48</v>
      </c>
      <c r="B8" t="s">
        <v>39</v>
      </c>
      <c r="C8" t="s">
        <v>40</v>
      </c>
      <c r="D8" t="s">
        <v>27</v>
      </c>
      <c r="E8" t="s">
        <v>180</v>
      </c>
      <c r="F8" t="s">
        <v>180</v>
      </c>
      <c r="G8" t="s">
        <v>5</v>
      </c>
      <c r="H8" t="s">
        <v>5</v>
      </c>
      <c r="I8" t="s">
        <v>28</v>
      </c>
      <c r="J8">
        <v>1</v>
      </c>
      <c r="K8" s="47" t="s">
        <v>120</v>
      </c>
    </row>
    <row r="9" spans="1:12" x14ac:dyDescent="0.3">
      <c r="A9" t="s">
        <v>46</v>
      </c>
      <c r="B9" t="s">
        <v>47</v>
      </c>
      <c r="C9" t="s">
        <v>40</v>
      </c>
      <c r="D9" t="s">
        <v>27</v>
      </c>
      <c r="E9" t="s">
        <v>180</v>
      </c>
      <c r="F9" t="s">
        <v>180</v>
      </c>
      <c r="G9" t="s">
        <v>5</v>
      </c>
      <c r="H9" t="s">
        <v>5</v>
      </c>
      <c r="I9" t="s">
        <v>28</v>
      </c>
      <c r="J9">
        <v>1</v>
      </c>
      <c r="K9" s="47" t="s">
        <v>120</v>
      </c>
      <c r="L9" s="71" t="s">
        <v>162</v>
      </c>
    </row>
    <row r="10" spans="1:12" x14ac:dyDescent="0.3">
      <c r="A10" t="s">
        <v>165</v>
      </c>
      <c r="B10" t="s">
        <v>47</v>
      </c>
      <c r="C10" t="s">
        <v>40</v>
      </c>
      <c r="D10" t="s">
        <v>27</v>
      </c>
      <c r="E10" t="s">
        <v>180</v>
      </c>
      <c r="F10" t="s">
        <v>180</v>
      </c>
      <c r="G10" t="s">
        <v>5</v>
      </c>
      <c r="H10" t="s">
        <v>5</v>
      </c>
      <c r="I10" t="s">
        <v>28</v>
      </c>
      <c r="J10">
        <v>1</v>
      </c>
      <c r="K10" s="47" t="s">
        <v>120</v>
      </c>
      <c r="L10" s="71" t="s">
        <v>162</v>
      </c>
    </row>
    <row r="11" spans="1:12" x14ac:dyDescent="0.3">
      <c r="A11" t="s">
        <v>49</v>
      </c>
      <c r="B11" t="s">
        <v>50</v>
      </c>
      <c r="C11" t="s">
        <v>40</v>
      </c>
      <c r="D11" t="s">
        <v>27</v>
      </c>
      <c r="E11" t="s">
        <v>180</v>
      </c>
      <c r="F11" t="s">
        <v>180</v>
      </c>
      <c r="G11" t="s">
        <v>5</v>
      </c>
      <c r="H11" t="s">
        <v>5</v>
      </c>
      <c r="I11" t="s">
        <v>28</v>
      </c>
      <c r="J11">
        <v>1</v>
      </c>
      <c r="K11" s="47" t="s">
        <v>120</v>
      </c>
      <c r="L11" s="71" t="s">
        <v>162</v>
      </c>
    </row>
    <row r="12" spans="1:12" x14ac:dyDescent="0.3">
      <c r="A12" t="s">
        <v>166</v>
      </c>
      <c r="B12" t="s">
        <v>52</v>
      </c>
      <c r="C12" t="s">
        <v>40</v>
      </c>
      <c r="D12" t="s">
        <v>27</v>
      </c>
      <c r="E12" t="s">
        <v>180</v>
      </c>
      <c r="F12" t="s">
        <v>180</v>
      </c>
      <c r="G12" t="s">
        <v>5</v>
      </c>
      <c r="H12" t="s">
        <v>5</v>
      </c>
      <c r="I12" t="s">
        <v>28</v>
      </c>
      <c r="J12">
        <v>1</v>
      </c>
      <c r="K12" s="47" t="s">
        <v>120</v>
      </c>
      <c r="L12" s="71" t="s">
        <v>162</v>
      </c>
    </row>
    <row r="13" spans="1:12" x14ac:dyDescent="0.3">
      <c r="A13" t="s">
        <v>167</v>
      </c>
      <c r="B13" t="s">
        <v>54</v>
      </c>
      <c r="C13" t="s">
        <v>40</v>
      </c>
      <c r="D13" t="s">
        <v>27</v>
      </c>
      <c r="E13" t="s">
        <v>180</v>
      </c>
      <c r="F13" t="s">
        <v>180</v>
      </c>
      <c r="G13" t="s">
        <v>5</v>
      </c>
      <c r="H13" t="s">
        <v>5</v>
      </c>
      <c r="I13" t="s">
        <v>28</v>
      </c>
      <c r="J13">
        <v>1</v>
      </c>
      <c r="K13" s="47" t="s">
        <v>120</v>
      </c>
      <c r="L13" s="71" t="s">
        <v>162</v>
      </c>
    </row>
    <row r="14" spans="1:12" x14ac:dyDescent="0.3">
      <c r="A14" t="s">
        <v>22</v>
      </c>
      <c r="B14" t="s">
        <v>188</v>
      </c>
      <c r="C14" t="s">
        <v>129</v>
      </c>
      <c r="D14" t="s">
        <v>27</v>
      </c>
      <c r="E14" t="s">
        <v>180</v>
      </c>
      <c r="F14" t="s">
        <v>180</v>
      </c>
      <c r="G14" t="s">
        <v>5</v>
      </c>
      <c r="H14" t="s">
        <v>5</v>
      </c>
      <c r="I14" t="s">
        <v>28</v>
      </c>
      <c r="J14">
        <v>1</v>
      </c>
      <c r="K14" s="47" t="s">
        <v>120</v>
      </c>
      <c r="L14" s="71" t="s">
        <v>162</v>
      </c>
    </row>
    <row r="15" spans="1:12" x14ac:dyDescent="0.3">
      <c r="A15" t="s">
        <v>136</v>
      </c>
      <c r="B15" t="s">
        <v>195</v>
      </c>
      <c r="C15" t="s">
        <v>129</v>
      </c>
      <c r="D15" t="s">
        <v>27</v>
      </c>
      <c r="E15" t="s">
        <v>180</v>
      </c>
      <c r="F15" t="s">
        <v>180</v>
      </c>
      <c r="G15" t="s">
        <v>5</v>
      </c>
      <c r="H15" t="s">
        <v>5</v>
      </c>
      <c r="I15" t="s">
        <v>28</v>
      </c>
      <c r="J15">
        <v>1</v>
      </c>
      <c r="K15" s="47" t="s">
        <v>120</v>
      </c>
      <c r="L15" s="71" t="s">
        <v>196</v>
      </c>
    </row>
    <row r="16" spans="1:12" x14ac:dyDescent="0.3">
      <c r="K16" s="47"/>
    </row>
  </sheetData>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L13"/>
  <sheetViews>
    <sheetView workbookViewId="0">
      <selection activeCell="G30" sqref="G30"/>
    </sheetView>
  </sheetViews>
  <sheetFormatPr defaultColWidth="8.77734375" defaultRowHeight="14.4" x14ac:dyDescent="0.3"/>
  <cols>
    <col min="1" max="1" width="12.77734375" customWidth="1"/>
    <col min="2" max="2" width="13.33203125" customWidth="1"/>
    <col min="3" max="3" width="11.109375" customWidth="1"/>
    <col min="6" max="6" width="13.44140625" customWidth="1"/>
    <col min="8" max="8" width="12.44140625" customWidth="1"/>
    <col min="10" max="10" width="10.109375" customWidth="1"/>
    <col min="11" max="11" width="11.33203125" customWidth="1"/>
  </cols>
  <sheetData>
    <row r="1" spans="1:12" x14ac:dyDescent="0.3">
      <c r="A1" s="11" t="s">
        <v>6</v>
      </c>
      <c r="B1" s="11" t="s">
        <v>33</v>
      </c>
      <c r="C1" s="11" t="s">
        <v>34</v>
      </c>
      <c r="D1" s="11" t="s">
        <v>11</v>
      </c>
      <c r="E1" s="11" t="s">
        <v>7</v>
      </c>
      <c r="F1" s="11" t="s">
        <v>118</v>
      </c>
      <c r="G1" s="11" t="s">
        <v>12</v>
      </c>
      <c r="H1" s="11" t="s">
        <v>36</v>
      </c>
      <c r="I1" s="11" t="s">
        <v>8</v>
      </c>
      <c r="J1" s="11" t="s">
        <v>9</v>
      </c>
      <c r="K1" s="11" t="s">
        <v>119</v>
      </c>
    </row>
    <row r="2" spans="1:12" x14ac:dyDescent="0.3">
      <c r="A2" t="s">
        <v>38</v>
      </c>
      <c r="B2" t="s">
        <v>39</v>
      </c>
      <c r="C2" t="s">
        <v>129</v>
      </c>
      <c r="D2" t="s">
        <v>27</v>
      </c>
      <c r="E2" t="s">
        <v>180</v>
      </c>
      <c r="F2" t="s">
        <v>180</v>
      </c>
      <c r="G2" t="s">
        <v>5</v>
      </c>
      <c r="H2" t="s">
        <v>5</v>
      </c>
      <c r="I2" t="s">
        <v>28</v>
      </c>
      <c r="J2">
        <v>1</v>
      </c>
      <c r="K2" s="6" t="s">
        <v>120</v>
      </c>
    </row>
    <row r="3" spans="1:12" x14ac:dyDescent="0.3">
      <c r="A3" t="s">
        <v>41</v>
      </c>
      <c r="B3" t="s">
        <v>39</v>
      </c>
      <c r="C3" t="s">
        <v>129</v>
      </c>
      <c r="D3" t="s">
        <v>27</v>
      </c>
      <c r="E3" t="s">
        <v>180</v>
      </c>
      <c r="F3" t="s">
        <v>180</v>
      </c>
      <c r="G3" t="s">
        <v>5</v>
      </c>
      <c r="H3" t="s">
        <v>5</v>
      </c>
      <c r="I3" t="s">
        <v>28</v>
      </c>
      <c r="J3">
        <v>1</v>
      </c>
      <c r="K3" s="6" t="s">
        <v>120</v>
      </c>
    </row>
    <row r="4" spans="1:12" x14ac:dyDescent="0.3">
      <c r="A4" t="s">
        <v>42</v>
      </c>
      <c r="B4" t="s">
        <v>39</v>
      </c>
      <c r="C4" t="s">
        <v>129</v>
      </c>
      <c r="D4" t="s">
        <v>27</v>
      </c>
      <c r="E4" t="s">
        <v>180</v>
      </c>
      <c r="F4" t="s">
        <v>180</v>
      </c>
      <c r="G4" t="s">
        <v>5</v>
      </c>
      <c r="H4" t="s">
        <v>5</v>
      </c>
      <c r="I4" t="s">
        <v>28</v>
      </c>
      <c r="J4">
        <v>1</v>
      </c>
      <c r="K4" s="6" t="s">
        <v>120</v>
      </c>
    </row>
    <row r="5" spans="1:12" x14ac:dyDescent="0.3">
      <c r="A5" t="s">
        <v>43</v>
      </c>
      <c r="B5" t="s">
        <v>39</v>
      </c>
      <c r="C5" t="s">
        <v>129</v>
      </c>
      <c r="D5" t="s">
        <v>27</v>
      </c>
      <c r="E5" t="s">
        <v>180</v>
      </c>
      <c r="F5" t="s">
        <v>180</v>
      </c>
      <c r="G5" t="s">
        <v>5</v>
      </c>
      <c r="H5" t="s">
        <v>5</v>
      </c>
      <c r="I5" t="s">
        <v>28</v>
      </c>
      <c r="J5">
        <v>1</v>
      </c>
      <c r="K5" s="6" t="s">
        <v>120</v>
      </c>
    </row>
    <row r="6" spans="1:12" x14ac:dyDescent="0.3">
      <c r="A6" t="s">
        <v>44</v>
      </c>
      <c r="B6" t="s">
        <v>39</v>
      </c>
      <c r="C6" t="s">
        <v>129</v>
      </c>
      <c r="D6" t="s">
        <v>27</v>
      </c>
      <c r="E6" t="s">
        <v>180</v>
      </c>
      <c r="F6" t="s">
        <v>180</v>
      </c>
      <c r="G6" t="s">
        <v>5</v>
      </c>
      <c r="H6" t="s">
        <v>5</v>
      </c>
      <c r="I6" t="s">
        <v>28</v>
      </c>
      <c r="J6">
        <v>1</v>
      </c>
      <c r="K6" s="6" t="s">
        <v>120</v>
      </c>
    </row>
    <row r="7" spans="1:12" x14ac:dyDescent="0.3">
      <c r="A7" t="s">
        <v>45</v>
      </c>
      <c r="B7" t="s">
        <v>39</v>
      </c>
      <c r="C7" t="s">
        <v>129</v>
      </c>
      <c r="D7" t="s">
        <v>27</v>
      </c>
      <c r="E7" t="s">
        <v>180</v>
      </c>
      <c r="F7" t="s">
        <v>180</v>
      </c>
      <c r="G7" t="s">
        <v>5</v>
      </c>
      <c r="H7" t="s">
        <v>5</v>
      </c>
      <c r="I7" t="s">
        <v>28</v>
      </c>
      <c r="J7">
        <v>1</v>
      </c>
      <c r="K7" s="6" t="s">
        <v>120</v>
      </c>
    </row>
    <row r="8" spans="1:12" x14ac:dyDescent="0.3">
      <c r="A8" t="s">
        <v>48</v>
      </c>
      <c r="B8" t="s">
        <v>39</v>
      </c>
      <c r="C8" t="s">
        <v>129</v>
      </c>
      <c r="D8" t="s">
        <v>27</v>
      </c>
      <c r="E8" t="s">
        <v>180</v>
      </c>
      <c r="F8" t="s">
        <v>180</v>
      </c>
      <c r="G8" t="s">
        <v>5</v>
      </c>
      <c r="H8" t="s">
        <v>5</v>
      </c>
      <c r="I8" t="s">
        <v>28</v>
      </c>
      <c r="J8">
        <v>1</v>
      </c>
      <c r="K8" s="6" t="s">
        <v>120</v>
      </c>
    </row>
    <row r="9" spans="1:12" x14ac:dyDescent="0.3">
      <c r="A9" t="s">
        <v>22</v>
      </c>
      <c r="B9" t="s">
        <v>188</v>
      </c>
      <c r="C9" t="s">
        <v>189</v>
      </c>
      <c r="D9" t="s">
        <v>27</v>
      </c>
      <c r="E9" t="s">
        <v>180</v>
      </c>
      <c r="F9" t="s">
        <v>147</v>
      </c>
      <c r="G9" t="s">
        <v>5</v>
      </c>
      <c r="H9" t="s">
        <v>5</v>
      </c>
      <c r="I9" t="s">
        <v>28</v>
      </c>
      <c r="J9">
        <v>1</v>
      </c>
      <c r="K9" s="47" t="s">
        <v>120</v>
      </c>
      <c r="L9" s="71" t="s">
        <v>162</v>
      </c>
    </row>
    <row r="10" spans="1:12" x14ac:dyDescent="0.3">
      <c r="A10" t="s">
        <v>136</v>
      </c>
      <c r="B10" t="s">
        <v>195</v>
      </c>
      <c r="C10" t="s">
        <v>129</v>
      </c>
      <c r="D10" t="s">
        <v>27</v>
      </c>
      <c r="E10" t="s">
        <v>180</v>
      </c>
      <c r="F10" t="s">
        <v>180</v>
      </c>
      <c r="G10" t="s">
        <v>5</v>
      </c>
      <c r="H10" t="s">
        <v>5</v>
      </c>
      <c r="I10" t="s">
        <v>28</v>
      </c>
      <c r="J10">
        <v>1</v>
      </c>
      <c r="K10" s="47" t="s">
        <v>120</v>
      </c>
      <c r="L10" t="s">
        <v>196</v>
      </c>
    </row>
    <row r="11" spans="1:12" x14ac:dyDescent="0.3">
      <c r="K11" s="47"/>
    </row>
    <row r="12" spans="1:12" x14ac:dyDescent="0.3">
      <c r="K12" s="6"/>
    </row>
    <row r="13" spans="1:12" x14ac:dyDescent="0.3">
      <c r="K13" s="6"/>
    </row>
  </sheetData>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F9"/>
  <sheetViews>
    <sheetView workbookViewId="0">
      <selection activeCell="A2" sqref="A2"/>
    </sheetView>
  </sheetViews>
  <sheetFormatPr defaultColWidth="8.77734375" defaultRowHeight="14.4" x14ac:dyDescent="0.3"/>
  <cols>
    <col min="1" max="1" width="17.33203125" customWidth="1"/>
    <col min="2" max="2" width="13.33203125" customWidth="1"/>
  </cols>
  <sheetData>
    <row r="1" spans="1:6" x14ac:dyDescent="0.3">
      <c r="A1" s="3" t="s">
        <v>6</v>
      </c>
      <c r="B1" s="3" t="s">
        <v>7</v>
      </c>
      <c r="C1" s="3" t="s">
        <v>12</v>
      </c>
      <c r="D1" s="3" t="s">
        <v>8</v>
      </c>
      <c r="E1" s="3" t="s">
        <v>9</v>
      </c>
      <c r="F1" s="11" t="s">
        <v>119</v>
      </c>
    </row>
    <row r="2" spans="1:6" x14ac:dyDescent="0.3">
      <c r="D2" s="1"/>
      <c r="F2" s="47"/>
    </row>
    <row r="3" spans="1:6" x14ac:dyDescent="0.3">
      <c r="D3" s="1"/>
      <c r="F3" s="47"/>
    </row>
    <row r="4" spans="1:6" x14ac:dyDescent="0.3">
      <c r="D4" s="1"/>
      <c r="F4" s="47"/>
    </row>
    <row r="5" spans="1:6" x14ac:dyDescent="0.3">
      <c r="D5" s="1"/>
      <c r="F5" s="47"/>
    </row>
    <row r="6" spans="1:6" x14ac:dyDescent="0.3">
      <c r="D6" s="1"/>
      <c r="F6" s="47"/>
    </row>
    <row r="7" spans="1:6" x14ac:dyDescent="0.3">
      <c r="D7" s="1"/>
      <c r="F7" s="47"/>
    </row>
    <row r="8" spans="1:6" x14ac:dyDescent="0.3">
      <c r="D8" s="1"/>
      <c r="F8" s="47"/>
    </row>
    <row r="9" spans="1:6" x14ac:dyDescent="0.3">
      <c r="D9" s="1"/>
      <c r="F9" s="47"/>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G52"/>
  <sheetViews>
    <sheetView workbookViewId="0">
      <selection activeCell="H23" sqref="H23"/>
    </sheetView>
  </sheetViews>
  <sheetFormatPr defaultColWidth="8.77734375" defaultRowHeight="14.4" x14ac:dyDescent="0.3"/>
  <cols>
    <col min="1" max="1" width="14" style="4" bestFit="1" customWidth="1"/>
    <col min="2" max="2" width="6.109375" style="4" bestFit="1" customWidth="1"/>
    <col min="3" max="3" width="11.6640625" style="4" bestFit="1" customWidth="1"/>
    <col min="4" max="4" width="5.109375" style="4" bestFit="1" customWidth="1"/>
    <col min="5" max="5" width="9.33203125" style="4" bestFit="1" customWidth="1"/>
    <col min="6" max="6" width="8" style="4" customWidth="1"/>
    <col min="7" max="7" width="11.44140625" customWidth="1"/>
    <col min="8" max="8" width="11.6640625" customWidth="1"/>
    <col min="9" max="9" width="10.109375" customWidth="1"/>
  </cols>
  <sheetData>
    <row r="1" spans="1:7" s="12" customFormat="1" x14ac:dyDescent="0.3">
      <c r="A1" s="3" t="s">
        <v>6</v>
      </c>
      <c r="B1" s="3" t="s">
        <v>11</v>
      </c>
      <c r="C1" s="3" t="s">
        <v>7</v>
      </c>
      <c r="D1" s="3" t="s">
        <v>12</v>
      </c>
      <c r="E1" s="3" t="s">
        <v>8</v>
      </c>
      <c r="F1" s="3" t="s">
        <v>9</v>
      </c>
      <c r="G1" s="11" t="s">
        <v>119</v>
      </c>
    </row>
    <row r="2" spans="1:7" x14ac:dyDescent="0.3">
      <c r="A2" s="4" t="s">
        <v>38</v>
      </c>
      <c r="B2" s="4" t="s">
        <v>27</v>
      </c>
      <c r="C2" s="4" t="s">
        <v>180</v>
      </c>
      <c r="D2" s="4" t="s">
        <v>5</v>
      </c>
      <c r="E2" s="4" t="s">
        <v>158</v>
      </c>
      <c r="F2" s="4">
        <v>40</v>
      </c>
      <c r="G2" s="47" t="s">
        <v>120</v>
      </c>
    </row>
    <row r="3" spans="1:7" x14ac:dyDescent="0.3">
      <c r="A3" s="4" t="s">
        <v>41</v>
      </c>
      <c r="B3" s="4" t="s">
        <v>27</v>
      </c>
      <c r="C3" s="4" t="s">
        <v>180</v>
      </c>
      <c r="D3" s="4" t="s">
        <v>5</v>
      </c>
      <c r="E3" s="4" t="s">
        <v>158</v>
      </c>
      <c r="F3" s="4">
        <v>50</v>
      </c>
      <c r="G3" s="47" t="s">
        <v>120</v>
      </c>
    </row>
    <row r="4" spans="1:7" x14ac:dyDescent="0.3">
      <c r="A4" s="4" t="s">
        <v>42</v>
      </c>
      <c r="B4" s="4" t="s">
        <v>27</v>
      </c>
      <c r="C4" s="4" t="s">
        <v>180</v>
      </c>
      <c r="D4" s="4" t="s">
        <v>5</v>
      </c>
      <c r="E4" s="4" t="s">
        <v>158</v>
      </c>
      <c r="F4" s="4">
        <v>60</v>
      </c>
      <c r="G4" s="47" t="s">
        <v>120</v>
      </c>
    </row>
    <row r="5" spans="1:7" x14ac:dyDescent="0.3">
      <c r="A5" s="4" t="s">
        <v>43</v>
      </c>
      <c r="B5" s="4" t="s">
        <v>27</v>
      </c>
      <c r="C5" s="4" t="s">
        <v>180</v>
      </c>
      <c r="D5" s="4" t="s">
        <v>5</v>
      </c>
      <c r="E5" s="4" t="s">
        <v>158</v>
      </c>
      <c r="F5" s="4">
        <v>70</v>
      </c>
      <c r="G5" s="47" t="s">
        <v>120</v>
      </c>
    </row>
    <row r="6" spans="1:7" x14ac:dyDescent="0.3">
      <c r="A6" s="4" t="s">
        <v>44</v>
      </c>
      <c r="B6" s="4" t="s">
        <v>27</v>
      </c>
      <c r="C6" s="4" t="s">
        <v>180</v>
      </c>
      <c r="D6" s="4" t="s">
        <v>5</v>
      </c>
      <c r="E6" s="4" t="s">
        <v>158</v>
      </c>
      <c r="F6" s="4">
        <v>80</v>
      </c>
      <c r="G6" s="47" t="s">
        <v>120</v>
      </c>
    </row>
    <row r="7" spans="1:7" x14ac:dyDescent="0.3">
      <c r="A7" s="4" t="s">
        <v>45</v>
      </c>
      <c r="B7" s="4" t="s">
        <v>27</v>
      </c>
      <c r="C7" s="4" t="s">
        <v>180</v>
      </c>
      <c r="D7" s="4" t="s">
        <v>5</v>
      </c>
      <c r="E7" s="4" t="s">
        <v>158</v>
      </c>
      <c r="F7" s="4">
        <v>94</v>
      </c>
      <c r="G7" s="47" t="s">
        <v>120</v>
      </c>
    </row>
    <row r="8" spans="1:7" x14ac:dyDescent="0.3">
      <c r="A8" s="4" t="s">
        <v>48</v>
      </c>
      <c r="B8" s="4" t="s">
        <v>27</v>
      </c>
      <c r="C8" s="4" t="s">
        <v>180</v>
      </c>
      <c r="D8" s="4" t="s">
        <v>5</v>
      </c>
      <c r="E8" s="4" t="s">
        <v>158</v>
      </c>
      <c r="F8" s="4">
        <v>96</v>
      </c>
      <c r="G8" s="47" t="s">
        <v>120</v>
      </c>
    </row>
    <row r="9" spans="1:7" x14ac:dyDescent="0.3">
      <c r="A9"/>
      <c r="B9"/>
      <c r="C9"/>
      <c r="D9"/>
      <c r="E9"/>
      <c r="F9"/>
    </row>
    <row r="10" spans="1:7" x14ac:dyDescent="0.3">
      <c r="A10"/>
      <c r="B10"/>
      <c r="C10"/>
      <c r="D10"/>
      <c r="E10"/>
      <c r="F10"/>
    </row>
    <row r="11" spans="1:7" x14ac:dyDescent="0.3">
      <c r="A11"/>
      <c r="B11"/>
      <c r="C11"/>
      <c r="D11"/>
      <c r="E11"/>
      <c r="F11"/>
    </row>
    <row r="12" spans="1:7" x14ac:dyDescent="0.3">
      <c r="A12"/>
      <c r="B12"/>
      <c r="C12"/>
      <c r="D12"/>
      <c r="E12"/>
      <c r="F12"/>
    </row>
    <row r="13" spans="1:7" x14ac:dyDescent="0.3">
      <c r="A13"/>
      <c r="B13"/>
      <c r="C13"/>
      <c r="D13"/>
      <c r="E13"/>
      <c r="F13"/>
    </row>
    <row r="14" spans="1:7" x14ac:dyDescent="0.3">
      <c r="A14"/>
      <c r="B14"/>
      <c r="C14"/>
      <c r="D14"/>
      <c r="E14"/>
      <c r="F14"/>
    </row>
    <row r="15" spans="1:7" x14ac:dyDescent="0.3">
      <c r="A15"/>
      <c r="B15"/>
      <c r="C15"/>
      <c r="D15"/>
      <c r="E15"/>
      <c r="F15"/>
    </row>
    <row r="16" spans="1:7" x14ac:dyDescent="0.3">
      <c r="A16"/>
      <c r="B16"/>
      <c r="C16"/>
      <c r="D16"/>
      <c r="E16"/>
      <c r="F16"/>
    </row>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resourceCost</vt:lpstr>
      <vt:lpstr>resource</vt:lpstr>
      <vt:lpstr>renewable</vt:lpstr>
      <vt:lpstr>demand_data</vt:lpstr>
      <vt:lpstr>commodityPrice</vt:lpstr>
      <vt:lpstr>relation_activity</vt:lpstr>
      <vt:lpstr>peak_load_factor</vt:lpstr>
      <vt:lpstr>historical_new_capacity</vt:lpstr>
      <vt:lpstr>historical_activity</vt:lpstr>
      <vt:lpstr>share_comodity_lo</vt:lpstr>
      <vt:lpstr>parCopy</vt:lpstr>
      <vt:lpstr>parReplace</vt:lpstr>
      <vt:lpstr>parRemove</vt:lpstr>
      <vt:lpstr>technical_lifetime</vt:lpstr>
      <vt:lpstr>input</vt:lpstr>
      <vt:lpstr>output</vt:lpstr>
      <vt:lpstr>inv_cost</vt:lpstr>
      <vt:lpstr>var_cost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Joudat Khalil</cp:lastModifiedBy>
  <dcterms:created xsi:type="dcterms:W3CDTF">2017-11-02T11:06:41Z</dcterms:created>
  <dcterms:modified xsi:type="dcterms:W3CDTF">2024-07-29T15:53:39Z</dcterms:modified>
</cp:coreProperties>
</file>