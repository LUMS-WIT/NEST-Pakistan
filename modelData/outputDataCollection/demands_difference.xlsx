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outputDataCollection\"/>
    </mc:Choice>
  </mc:AlternateContent>
  <xr:revisionPtr revIDLastSave="0" documentId="13_ncr:1_{6BFD1C73-8846-4C24-B283-97996E81167F}" xr6:coauthVersionLast="47" xr6:coauthVersionMax="47" xr10:uidLastSave="{00000000-0000-0000-0000-000000000000}"/>
  <bookViews>
    <workbookView xWindow="-98" yWindow="-98" windowWidth="21795" windowHeight="13695" xr2:uid="{0BC3F2CC-D133-4823-9ED8-5172E09AB7A2}"/>
  </bookViews>
  <sheets>
    <sheet name="Sheet1" sheetId="1" r:id="rId1"/>
    <sheet name="growth rate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7" i="2"/>
  <c r="C68" i="2"/>
  <c r="C69" i="2"/>
  <c r="C70" i="2"/>
  <c r="C71" i="2"/>
  <c r="C72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</calcChain>
</file>

<file path=xl/sharedStrings.xml><?xml version="1.0" encoding="utf-8"?>
<sst xmlns="http://schemas.openxmlformats.org/spreadsheetml/2006/main" count="1610" uniqueCount="38">
  <si>
    <t>R12_PAK</t>
  </si>
  <si>
    <t>i_feed</t>
  </si>
  <si>
    <t>useful</t>
  </si>
  <si>
    <t>year</t>
  </si>
  <si>
    <t>i_spec</t>
  </si>
  <si>
    <t>i_therm</t>
  </si>
  <si>
    <t>non-comm</t>
  </si>
  <si>
    <t>rc_spec</t>
  </si>
  <si>
    <t>rc_therm</t>
  </si>
  <si>
    <t>transport</t>
  </si>
  <si>
    <t>Demands Calculated via Script</t>
  </si>
  <si>
    <t>Demands in New Model File</t>
  </si>
  <si>
    <t>Grand Total</t>
  </si>
  <si>
    <t>2110</t>
  </si>
  <si>
    <t>2100</t>
  </si>
  <si>
    <t>2090</t>
  </si>
  <si>
    <t>2080</t>
  </si>
  <si>
    <t>2070</t>
  </si>
  <si>
    <t>2060</t>
  </si>
  <si>
    <t>2055</t>
  </si>
  <si>
    <t>2050</t>
  </si>
  <si>
    <t>2045</t>
  </si>
  <si>
    <t>2040</t>
  </si>
  <si>
    <t>2035</t>
  </si>
  <si>
    <t>2030</t>
  </si>
  <si>
    <t>2025</t>
  </si>
  <si>
    <t>2020</t>
  </si>
  <si>
    <t>2015</t>
  </si>
  <si>
    <t>2010</t>
  </si>
  <si>
    <t>2005</t>
  </si>
  <si>
    <t>2000</t>
  </si>
  <si>
    <t>1995</t>
  </si>
  <si>
    <t>1990</t>
  </si>
  <si>
    <t>Sum of value</t>
  </si>
  <si>
    <t>Row Labels</t>
  </si>
  <si>
    <t>Growth rates</t>
  </si>
  <si>
    <t>GWa</t>
  </si>
  <si>
    <t>Demands via Newest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</si>
</sst>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0" borderId="0" xfId="0" pivotButton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7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emands_differenc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fa Yaseen" refreshedDate="45839.691275231482" createdVersion="8" refreshedVersion="8" minRefreshableVersion="3" recordCount="140" xr:uid="{1CC3A732-0E8E-41B4-9B74-4B9FF56040E3}">
  <cacheSource type="worksheet">
    <worksheetSource ref="A1:G141" sheet="Sheet1 (2)" r:id="rId2"/>
  </cacheSource>
  <cacheFields count="7">
    <cacheField name="node" numFmtId="0">
      <sharedItems/>
    </cacheField>
    <cacheField name="commodity" numFmtId="0">
      <sharedItems count="7">
        <s v="i_feed"/>
        <s v="i_spec"/>
        <s v="i_therm"/>
        <s v="non-comm"/>
        <s v="rc_spec"/>
        <s v="rc_therm"/>
        <s v="transport"/>
      </sharedItems>
    </cacheField>
    <cacheField name="level" numFmtId="0">
      <sharedItems/>
    </cacheField>
    <cacheField name="year" numFmtId="0">
      <sharedItems count="20">
        <s v="1990"/>
        <s v="1995"/>
        <s v="2000"/>
        <s v="2005"/>
        <s v="2010"/>
        <s v="2015"/>
        <s v="2020"/>
        <s v="2025"/>
        <s v="2030"/>
        <s v="2035"/>
        <s v="2040"/>
        <s v="2045"/>
        <s v="2050"/>
        <s v="2055"/>
        <s v="2060"/>
        <s v="2070"/>
        <s v="2080"/>
        <s v="2090"/>
        <s v="2100"/>
        <s v="2110"/>
      </sharedItems>
    </cacheField>
    <cacheField name="time" numFmtId="0">
      <sharedItems count="1">
        <s v="year"/>
      </sharedItems>
    </cacheField>
    <cacheField name="value" numFmtId="0">
      <sharedItems containsSemiMixedTypes="0" containsString="0" containsNumber="1" minValue="0" maxValue="300.48950000000002"/>
    </cacheField>
    <cacheField name="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R12_PAK"/>
    <x v="0"/>
    <s v="useful"/>
    <x v="0"/>
    <x v="0"/>
    <n v="2.9"/>
    <s v="GWa"/>
  </r>
  <r>
    <s v="R12_PAK"/>
    <x v="1"/>
    <s v="useful"/>
    <x v="0"/>
    <x v="0"/>
    <n v="0.92"/>
    <s v="GWa"/>
  </r>
  <r>
    <s v="R12_PAK"/>
    <x v="2"/>
    <s v="useful"/>
    <x v="0"/>
    <x v="0"/>
    <n v="5.31"/>
    <s v="GWa"/>
  </r>
  <r>
    <s v="R12_PAK"/>
    <x v="3"/>
    <s v="useful"/>
    <x v="0"/>
    <x v="0"/>
    <n v="0.26"/>
    <s v="GWa"/>
  </r>
  <r>
    <s v="R12_PAK"/>
    <x v="4"/>
    <s v="useful"/>
    <x v="0"/>
    <x v="0"/>
    <n v="0.6"/>
    <s v="GWa"/>
  </r>
  <r>
    <s v="R12_PAK"/>
    <x v="5"/>
    <s v="useful"/>
    <x v="0"/>
    <x v="0"/>
    <n v="3.97"/>
    <s v="GWa"/>
  </r>
  <r>
    <s v="R12_PAK"/>
    <x v="6"/>
    <s v="useful"/>
    <x v="0"/>
    <x v="0"/>
    <n v="6.61"/>
    <s v="GWa"/>
  </r>
  <r>
    <s v="R12_PAK"/>
    <x v="0"/>
    <s v="useful"/>
    <x v="1"/>
    <x v="0"/>
    <n v="2.63"/>
    <s v="GWa"/>
  </r>
  <r>
    <s v="R12_PAK"/>
    <x v="1"/>
    <s v="useful"/>
    <x v="1"/>
    <x v="0"/>
    <n v="1.1299999999999999"/>
    <s v="GWa"/>
  </r>
  <r>
    <s v="R12_PAK"/>
    <x v="2"/>
    <s v="useful"/>
    <x v="1"/>
    <x v="0"/>
    <n v="6.88"/>
    <s v="GWa"/>
  </r>
  <r>
    <s v="R12_PAK"/>
    <x v="3"/>
    <s v="useful"/>
    <x v="1"/>
    <x v="0"/>
    <n v="0.27"/>
    <s v="GWa"/>
  </r>
  <r>
    <s v="R12_PAK"/>
    <x v="4"/>
    <s v="useful"/>
    <x v="1"/>
    <x v="0"/>
    <n v="0.97"/>
    <s v="GWa"/>
  </r>
  <r>
    <s v="R12_PAK"/>
    <x v="5"/>
    <s v="useful"/>
    <x v="1"/>
    <x v="0"/>
    <n v="4.05"/>
    <s v="GWa"/>
  </r>
  <r>
    <s v="R12_PAK"/>
    <x v="6"/>
    <s v="useful"/>
    <x v="1"/>
    <x v="0"/>
    <n v="9.52"/>
    <s v="GWa"/>
  </r>
  <r>
    <s v="R12_PAK"/>
    <x v="0"/>
    <s v="useful"/>
    <x v="2"/>
    <x v="0"/>
    <n v="3.75"/>
    <s v="GWa"/>
  </r>
  <r>
    <s v="R12_PAK"/>
    <x v="1"/>
    <s v="useful"/>
    <x v="2"/>
    <x v="0"/>
    <n v="1.31"/>
    <s v="GWa"/>
  </r>
  <r>
    <s v="R12_PAK"/>
    <x v="2"/>
    <s v="useful"/>
    <x v="2"/>
    <x v="0"/>
    <n v="7.29"/>
    <s v="GWa"/>
  </r>
  <r>
    <s v="R12_PAK"/>
    <x v="3"/>
    <s v="useful"/>
    <x v="2"/>
    <x v="0"/>
    <n v="0.35"/>
    <s v="GWa"/>
  </r>
  <r>
    <s v="R12_PAK"/>
    <x v="4"/>
    <s v="useful"/>
    <x v="2"/>
    <x v="0"/>
    <n v="1.1100000000000001"/>
    <s v="GWa"/>
  </r>
  <r>
    <s v="R12_PAK"/>
    <x v="5"/>
    <s v="useful"/>
    <x v="2"/>
    <x v="0"/>
    <n v="5.09"/>
    <s v="GWa"/>
  </r>
  <r>
    <s v="R12_PAK"/>
    <x v="6"/>
    <s v="useful"/>
    <x v="2"/>
    <x v="0"/>
    <n v="11.98"/>
    <s v="GWa"/>
  </r>
  <r>
    <s v="R12_PAK"/>
    <x v="0"/>
    <s v="useful"/>
    <x v="3"/>
    <x v="0"/>
    <n v="4.62"/>
    <s v="GWa"/>
  </r>
  <r>
    <s v="R12_PAK"/>
    <x v="1"/>
    <s v="useful"/>
    <x v="3"/>
    <x v="0"/>
    <n v="2.06"/>
    <s v="GWa"/>
  </r>
  <r>
    <s v="R12_PAK"/>
    <x v="2"/>
    <s v="useful"/>
    <x v="3"/>
    <x v="0"/>
    <n v="11.32"/>
    <s v="GWa"/>
  </r>
  <r>
    <s v="R12_PAK"/>
    <x v="3"/>
    <s v="useful"/>
    <x v="3"/>
    <x v="0"/>
    <n v="0.28000000000000003"/>
    <s v="GWa"/>
  </r>
  <r>
    <s v="R12_PAK"/>
    <x v="4"/>
    <s v="useful"/>
    <x v="3"/>
    <x v="0"/>
    <n v="1.71"/>
    <s v="GWa"/>
  </r>
  <r>
    <s v="R12_PAK"/>
    <x v="5"/>
    <s v="useful"/>
    <x v="3"/>
    <x v="0"/>
    <n v="5.89"/>
    <s v="GWa"/>
  </r>
  <r>
    <s v="R12_PAK"/>
    <x v="6"/>
    <s v="useful"/>
    <x v="3"/>
    <x v="0"/>
    <n v="13.13"/>
    <s v="GWa"/>
  </r>
  <r>
    <s v="R12_PAK"/>
    <x v="0"/>
    <s v="useful"/>
    <x v="4"/>
    <x v="0"/>
    <n v="4.6500000000000004"/>
    <s v="GWa"/>
  </r>
  <r>
    <s v="R12_PAK"/>
    <x v="1"/>
    <s v="useful"/>
    <x v="4"/>
    <x v="0"/>
    <n v="2.0699999999999998"/>
    <s v="GWa"/>
  </r>
  <r>
    <s v="R12_PAK"/>
    <x v="2"/>
    <s v="useful"/>
    <x v="4"/>
    <x v="0"/>
    <n v="12.18"/>
    <s v="GWa"/>
  </r>
  <r>
    <s v="R12_PAK"/>
    <x v="3"/>
    <s v="useful"/>
    <x v="4"/>
    <x v="0"/>
    <n v="0.3"/>
    <s v="GWa"/>
  </r>
  <r>
    <s v="R12_PAK"/>
    <x v="4"/>
    <s v="useful"/>
    <x v="4"/>
    <x v="0"/>
    <n v="2.1800000000000002"/>
    <s v="GWa"/>
  </r>
  <r>
    <s v="R12_PAK"/>
    <x v="5"/>
    <s v="useful"/>
    <x v="4"/>
    <x v="0"/>
    <n v="7.39"/>
    <s v="GWa"/>
  </r>
  <r>
    <s v="R12_PAK"/>
    <x v="6"/>
    <s v="useful"/>
    <x v="4"/>
    <x v="0"/>
    <n v="16.32"/>
    <s v="GWa"/>
  </r>
  <r>
    <s v="R12_PAK"/>
    <x v="0"/>
    <s v="useful"/>
    <x v="5"/>
    <x v="0"/>
    <n v="5.22"/>
    <s v="GWa"/>
  </r>
  <r>
    <s v="R12_PAK"/>
    <x v="1"/>
    <s v="useful"/>
    <x v="5"/>
    <x v="0"/>
    <n v="2.56"/>
    <s v="GWa"/>
  </r>
  <r>
    <s v="R12_PAK"/>
    <x v="2"/>
    <s v="useful"/>
    <x v="5"/>
    <x v="0"/>
    <n v="12.71"/>
    <s v="GWa"/>
  </r>
  <r>
    <s v="R12_PAK"/>
    <x v="3"/>
    <s v="useful"/>
    <x v="5"/>
    <x v="0"/>
    <n v="0.28000000000000003"/>
    <s v="GWa"/>
  </r>
  <r>
    <s v="R12_PAK"/>
    <x v="4"/>
    <s v="useful"/>
    <x v="5"/>
    <x v="0"/>
    <n v="2.75"/>
    <s v="GWa"/>
  </r>
  <r>
    <s v="R12_PAK"/>
    <x v="5"/>
    <s v="useful"/>
    <x v="5"/>
    <x v="0"/>
    <n v="8.93"/>
    <s v="GWa"/>
  </r>
  <r>
    <s v="R12_PAK"/>
    <x v="6"/>
    <s v="useful"/>
    <x v="5"/>
    <x v="0"/>
    <n v="20.84"/>
    <s v="GWa"/>
  </r>
  <r>
    <s v="R12_PAK"/>
    <x v="0"/>
    <s v="useful"/>
    <x v="6"/>
    <x v="0"/>
    <n v="6.02"/>
    <s v="GWa"/>
  </r>
  <r>
    <s v="R12_PAK"/>
    <x v="1"/>
    <s v="useful"/>
    <x v="6"/>
    <x v="0"/>
    <n v="2.86"/>
    <s v="GWa"/>
  </r>
  <r>
    <s v="R12_PAK"/>
    <x v="2"/>
    <s v="useful"/>
    <x v="6"/>
    <x v="0"/>
    <n v="15.95"/>
    <s v="GWa"/>
  </r>
  <r>
    <s v="R12_PAK"/>
    <x v="3"/>
    <s v="useful"/>
    <x v="6"/>
    <x v="0"/>
    <n v="0.26"/>
    <s v="GWa"/>
  </r>
  <r>
    <s v="R12_PAK"/>
    <x v="4"/>
    <s v="useful"/>
    <x v="6"/>
    <x v="0"/>
    <n v="3.89"/>
    <s v="GWa"/>
  </r>
  <r>
    <s v="R12_PAK"/>
    <x v="5"/>
    <s v="useful"/>
    <x v="6"/>
    <x v="0"/>
    <n v="10.050000000000001"/>
    <s v="GWa"/>
  </r>
  <r>
    <s v="R12_PAK"/>
    <x v="6"/>
    <s v="useful"/>
    <x v="6"/>
    <x v="0"/>
    <n v="24.31"/>
    <s v="GWa"/>
  </r>
  <r>
    <s v="R12_PAK"/>
    <x v="0"/>
    <s v="useful"/>
    <x v="7"/>
    <x v="0"/>
    <n v="6.3048000000000002"/>
    <s v="GWa"/>
  </r>
  <r>
    <s v="R12_PAK"/>
    <x v="1"/>
    <s v="useful"/>
    <x v="7"/>
    <x v="0"/>
    <n v="4.9093"/>
    <s v="GWa"/>
  </r>
  <r>
    <s v="R12_PAK"/>
    <x v="2"/>
    <s v="useful"/>
    <x v="7"/>
    <x v="0"/>
    <n v="15.631500000000001"/>
    <s v="GWa"/>
  </r>
  <r>
    <s v="R12_PAK"/>
    <x v="3"/>
    <s v="useful"/>
    <x v="7"/>
    <x v="0"/>
    <n v="0"/>
    <s v="GWa"/>
  </r>
  <r>
    <s v="R12_PAK"/>
    <x v="4"/>
    <s v="useful"/>
    <x v="7"/>
    <x v="0"/>
    <n v="6.7675999999999998"/>
    <s v="GWa"/>
  </r>
  <r>
    <s v="R12_PAK"/>
    <x v="5"/>
    <s v="useful"/>
    <x v="7"/>
    <x v="0"/>
    <n v="12.324999999999999"/>
    <s v="GWa"/>
  </r>
  <r>
    <s v="R12_PAK"/>
    <x v="6"/>
    <s v="useful"/>
    <x v="7"/>
    <x v="0"/>
    <n v="28.891400000000001"/>
    <s v="GWa"/>
  </r>
  <r>
    <s v="R12_PAK"/>
    <x v="0"/>
    <s v="useful"/>
    <x v="8"/>
    <x v="0"/>
    <n v="7.7847999999999997"/>
    <s v="GWa"/>
  </r>
  <r>
    <s v="R12_PAK"/>
    <x v="1"/>
    <s v="useful"/>
    <x v="8"/>
    <x v="0"/>
    <n v="6.1719999999999997"/>
    <s v="GWa"/>
  </r>
  <r>
    <s v="R12_PAK"/>
    <x v="2"/>
    <s v="useful"/>
    <x v="8"/>
    <x v="0"/>
    <n v="19.300799999999999"/>
    <s v="GWa"/>
  </r>
  <r>
    <s v="R12_PAK"/>
    <x v="3"/>
    <s v="useful"/>
    <x v="8"/>
    <x v="0"/>
    <n v="0"/>
    <s v="GWa"/>
  </r>
  <r>
    <s v="R12_PAK"/>
    <x v="4"/>
    <s v="useful"/>
    <x v="8"/>
    <x v="0"/>
    <n v="9.3523999999999994"/>
    <s v="GWa"/>
  </r>
  <r>
    <s v="R12_PAK"/>
    <x v="5"/>
    <s v="useful"/>
    <x v="8"/>
    <x v="0"/>
    <n v="15.078900000000001"/>
    <s v="GWa"/>
  </r>
  <r>
    <s v="R12_PAK"/>
    <x v="6"/>
    <s v="useful"/>
    <x v="8"/>
    <x v="0"/>
    <n v="32.5105"/>
    <s v="GWa"/>
  </r>
  <r>
    <s v="R12_PAK"/>
    <x v="0"/>
    <s v="useful"/>
    <x v="9"/>
    <x v="0"/>
    <n v="10.0428"/>
    <s v="GWa"/>
  </r>
  <r>
    <s v="R12_PAK"/>
    <x v="1"/>
    <s v="useful"/>
    <x v="9"/>
    <x v="0"/>
    <n v="8.8995999999999995"/>
    <s v="GWa"/>
  </r>
  <r>
    <s v="R12_PAK"/>
    <x v="2"/>
    <s v="useful"/>
    <x v="9"/>
    <x v="0"/>
    <n v="24.869"/>
    <s v="GWa"/>
  </r>
  <r>
    <s v="R12_PAK"/>
    <x v="3"/>
    <s v="useful"/>
    <x v="9"/>
    <x v="0"/>
    <n v="0"/>
    <s v="GWa"/>
  </r>
  <r>
    <s v="R12_PAK"/>
    <x v="4"/>
    <s v="useful"/>
    <x v="9"/>
    <x v="0"/>
    <n v="12.7439"/>
    <s v="GWa"/>
  </r>
  <r>
    <s v="R12_PAK"/>
    <x v="5"/>
    <s v="useful"/>
    <x v="9"/>
    <x v="0"/>
    <n v="19.886900000000001"/>
    <s v="GWa"/>
  </r>
  <r>
    <s v="R12_PAK"/>
    <x v="6"/>
    <s v="useful"/>
    <x v="9"/>
    <x v="0"/>
    <n v="37.855699999999999"/>
    <s v="GWa"/>
  </r>
  <r>
    <s v="R12_PAK"/>
    <x v="0"/>
    <s v="useful"/>
    <x v="10"/>
    <x v="0"/>
    <n v="13.4095"/>
    <s v="GWa"/>
  </r>
  <r>
    <s v="R12_PAK"/>
    <x v="1"/>
    <s v="useful"/>
    <x v="10"/>
    <x v="0"/>
    <n v="13.472"/>
    <s v="GWa"/>
  </r>
  <r>
    <s v="R12_PAK"/>
    <x v="2"/>
    <s v="useful"/>
    <x v="10"/>
    <x v="0"/>
    <n v="33.052599999999998"/>
    <s v="GWa"/>
  </r>
  <r>
    <s v="R12_PAK"/>
    <x v="3"/>
    <s v="useful"/>
    <x v="10"/>
    <x v="0"/>
    <n v="0"/>
    <s v="GWa"/>
  </r>
  <r>
    <s v="R12_PAK"/>
    <x v="4"/>
    <s v="useful"/>
    <x v="10"/>
    <x v="0"/>
    <n v="16.663499999999999"/>
    <s v="GWa"/>
  </r>
  <r>
    <s v="R12_PAK"/>
    <x v="5"/>
    <s v="useful"/>
    <x v="10"/>
    <x v="0"/>
    <n v="23.121300000000002"/>
    <s v="GWa"/>
  </r>
  <r>
    <s v="R12_PAK"/>
    <x v="6"/>
    <s v="useful"/>
    <x v="10"/>
    <x v="0"/>
    <n v="44.436700000000002"/>
    <s v="GWa"/>
  </r>
  <r>
    <s v="R12_PAK"/>
    <x v="0"/>
    <s v="useful"/>
    <x v="11"/>
    <x v="0"/>
    <n v="16.307400000000001"/>
    <s v="GWa"/>
  </r>
  <r>
    <s v="R12_PAK"/>
    <x v="1"/>
    <s v="useful"/>
    <x v="11"/>
    <x v="0"/>
    <n v="18.468299999999999"/>
    <s v="GWa"/>
  </r>
  <r>
    <s v="R12_PAK"/>
    <x v="2"/>
    <s v="useful"/>
    <x v="11"/>
    <x v="0"/>
    <n v="38.9328"/>
    <s v="GWa"/>
  </r>
  <r>
    <s v="R12_PAK"/>
    <x v="3"/>
    <s v="useful"/>
    <x v="11"/>
    <x v="0"/>
    <n v="0"/>
    <s v="GWa"/>
  </r>
  <r>
    <s v="R12_PAK"/>
    <x v="4"/>
    <s v="useful"/>
    <x v="11"/>
    <x v="0"/>
    <n v="21.449100000000001"/>
    <s v="GWa"/>
  </r>
  <r>
    <s v="R12_PAK"/>
    <x v="5"/>
    <s v="useful"/>
    <x v="11"/>
    <x v="0"/>
    <n v="30.3568"/>
    <s v="GWa"/>
  </r>
  <r>
    <s v="R12_PAK"/>
    <x v="6"/>
    <s v="useful"/>
    <x v="11"/>
    <x v="0"/>
    <n v="54.152200000000001"/>
    <s v="GWa"/>
  </r>
  <r>
    <s v="R12_PAK"/>
    <x v="0"/>
    <s v="useful"/>
    <x v="12"/>
    <x v="0"/>
    <n v="19.4358"/>
    <s v="GWa"/>
  </r>
  <r>
    <s v="R12_PAK"/>
    <x v="1"/>
    <s v="useful"/>
    <x v="12"/>
    <x v="0"/>
    <n v="24.9209"/>
    <s v="GWa"/>
  </r>
  <r>
    <s v="R12_PAK"/>
    <x v="2"/>
    <s v="useful"/>
    <x v="12"/>
    <x v="0"/>
    <n v="45.288800000000002"/>
    <s v="GWa"/>
  </r>
  <r>
    <s v="R12_PAK"/>
    <x v="3"/>
    <s v="useful"/>
    <x v="12"/>
    <x v="0"/>
    <n v="0"/>
    <s v="GWa"/>
  </r>
  <r>
    <s v="R12_PAK"/>
    <x v="4"/>
    <s v="useful"/>
    <x v="12"/>
    <x v="0"/>
    <n v="26.866700000000002"/>
    <s v="GWa"/>
  </r>
  <r>
    <s v="R12_PAK"/>
    <x v="5"/>
    <s v="useful"/>
    <x v="12"/>
    <x v="0"/>
    <n v="37.659700000000001"/>
    <s v="GWa"/>
  </r>
  <r>
    <s v="R12_PAK"/>
    <x v="6"/>
    <s v="useful"/>
    <x v="12"/>
    <x v="0"/>
    <n v="64.366100000000003"/>
    <s v="GWa"/>
  </r>
  <r>
    <s v="R12_PAK"/>
    <x v="0"/>
    <s v="useful"/>
    <x v="13"/>
    <x v="0"/>
    <n v="22.9528"/>
    <s v="GWa"/>
  </r>
  <r>
    <s v="R12_PAK"/>
    <x v="1"/>
    <s v="useful"/>
    <x v="13"/>
    <x v="0"/>
    <n v="32.219900000000003"/>
    <s v="GWa"/>
  </r>
  <r>
    <s v="R12_PAK"/>
    <x v="2"/>
    <s v="useful"/>
    <x v="13"/>
    <x v="0"/>
    <n v="52.537300000000002"/>
    <s v="GWa"/>
  </r>
  <r>
    <s v="R12_PAK"/>
    <x v="3"/>
    <s v="useful"/>
    <x v="13"/>
    <x v="0"/>
    <n v="0"/>
    <s v="GWa"/>
  </r>
  <r>
    <s v="R12_PAK"/>
    <x v="4"/>
    <s v="useful"/>
    <x v="13"/>
    <x v="0"/>
    <n v="33.268700000000003"/>
    <s v="GWa"/>
  </r>
  <r>
    <s v="R12_PAK"/>
    <x v="5"/>
    <s v="useful"/>
    <x v="13"/>
    <x v="0"/>
    <n v="44.638300000000001"/>
    <s v="GWa"/>
  </r>
  <r>
    <s v="R12_PAK"/>
    <x v="6"/>
    <s v="useful"/>
    <x v="13"/>
    <x v="0"/>
    <n v="78.415400000000005"/>
    <s v="GWa"/>
  </r>
  <r>
    <s v="R12_PAK"/>
    <x v="0"/>
    <s v="useful"/>
    <x v="14"/>
    <x v="0"/>
    <n v="26.8705"/>
    <s v="GWa"/>
  </r>
  <r>
    <s v="R12_PAK"/>
    <x v="1"/>
    <s v="useful"/>
    <x v="14"/>
    <x v="0"/>
    <n v="40.803699999999999"/>
    <s v="GWa"/>
  </r>
  <r>
    <s v="R12_PAK"/>
    <x v="2"/>
    <s v="useful"/>
    <x v="14"/>
    <x v="0"/>
    <n v="60.628799999999998"/>
    <s v="GWa"/>
  </r>
  <r>
    <s v="R12_PAK"/>
    <x v="3"/>
    <s v="useful"/>
    <x v="14"/>
    <x v="0"/>
    <n v="0"/>
    <s v="GWa"/>
  </r>
  <r>
    <s v="R12_PAK"/>
    <x v="4"/>
    <s v="useful"/>
    <x v="14"/>
    <x v="0"/>
    <n v="39.765700000000002"/>
    <s v="GWa"/>
  </r>
  <r>
    <s v="R12_PAK"/>
    <x v="5"/>
    <s v="useful"/>
    <x v="14"/>
    <x v="0"/>
    <n v="50.340899999999998"/>
    <s v="GWa"/>
  </r>
  <r>
    <s v="R12_PAK"/>
    <x v="6"/>
    <s v="useful"/>
    <x v="14"/>
    <x v="0"/>
    <n v="93.945599999999999"/>
    <s v="GWa"/>
  </r>
  <r>
    <s v="R12_PAK"/>
    <x v="0"/>
    <s v="useful"/>
    <x v="15"/>
    <x v="0"/>
    <n v="36.256500000000003"/>
    <s v="GWa"/>
  </r>
  <r>
    <s v="R12_PAK"/>
    <x v="1"/>
    <s v="useful"/>
    <x v="15"/>
    <x v="0"/>
    <n v="53.7973"/>
    <s v="GWa"/>
  </r>
  <r>
    <s v="R12_PAK"/>
    <x v="2"/>
    <s v="useful"/>
    <x v="15"/>
    <x v="0"/>
    <n v="81.814300000000003"/>
    <s v="GWa"/>
  </r>
  <r>
    <s v="R12_PAK"/>
    <x v="3"/>
    <s v="useful"/>
    <x v="15"/>
    <x v="0"/>
    <n v="0"/>
    <s v="GWa"/>
  </r>
  <r>
    <s v="R12_PAK"/>
    <x v="4"/>
    <s v="useful"/>
    <x v="15"/>
    <x v="0"/>
    <n v="55.871400000000001"/>
    <s v="GWa"/>
  </r>
  <r>
    <s v="R12_PAK"/>
    <x v="5"/>
    <s v="useful"/>
    <x v="15"/>
    <x v="0"/>
    <n v="63.513300000000001"/>
    <s v="GWa"/>
  </r>
  <r>
    <s v="R12_PAK"/>
    <x v="6"/>
    <s v="useful"/>
    <x v="15"/>
    <x v="0"/>
    <n v="129.93209999999999"/>
    <s v="GWa"/>
  </r>
  <r>
    <s v="R12_PAK"/>
    <x v="0"/>
    <s v="useful"/>
    <x v="16"/>
    <x v="0"/>
    <n v="47.551900000000003"/>
    <s v="GWa"/>
  </r>
  <r>
    <s v="R12_PAK"/>
    <x v="1"/>
    <s v="useful"/>
    <x v="16"/>
    <x v="0"/>
    <n v="67.916399999999996"/>
    <s v="GWa"/>
  </r>
  <r>
    <s v="R12_PAK"/>
    <x v="2"/>
    <s v="useful"/>
    <x v="16"/>
    <x v="0"/>
    <n v="108.81"/>
    <s v="GWa"/>
  </r>
  <r>
    <s v="R12_PAK"/>
    <x v="3"/>
    <s v="useful"/>
    <x v="16"/>
    <x v="0"/>
    <n v="0"/>
    <s v="GWa"/>
  </r>
  <r>
    <s v="R12_PAK"/>
    <x v="4"/>
    <s v="useful"/>
    <x v="16"/>
    <x v="0"/>
    <n v="71.860799999999998"/>
    <s v="GWa"/>
  </r>
  <r>
    <s v="R12_PAK"/>
    <x v="5"/>
    <s v="useful"/>
    <x v="16"/>
    <x v="0"/>
    <n v="79.055000000000007"/>
    <s v="GWa"/>
  </r>
  <r>
    <s v="R12_PAK"/>
    <x v="6"/>
    <s v="useful"/>
    <x v="16"/>
    <x v="0"/>
    <n v="167.6489"/>
    <s v="GWa"/>
  </r>
  <r>
    <s v="R12_PAK"/>
    <x v="0"/>
    <s v="useful"/>
    <x v="17"/>
    <x v="0"/>
    <n v="57.490600000000001"/>
    <s v="GWa"/>
  </r>
  <r>
    <s v="R12_PAK"/>
    <x v="1"/>
    <s v="useful"/>
    <x v="17"/>
    <x v="0"/>
    <n v="76.400599999999997"/>
    <s v="GWa"/>
  </r>
  <r>
    <s v="R12_PAK"/>
    <x v="2"/>
    <s v="useful"/>
    <x v="17"/>
    <x v="0"/>
    <n v="127.0714"/>
    <s v="GWa"/>
  </r>
  <r>
    <s v="R12_PAK"/>
    <x v="3"/>
    <s v="useful"/>
    <x v="17"/>
    <x v="0"/>
    <n v="0"/>
    <s v="GWa"/>
  </r>
  <r>
    <s v="R12_PAK"/>
    <x v="4"/>
    <s v="useful"/>
    <x v="17"/>
    <x v="0"/>
    <n v="91.179900000000004"/>
    <s v="GWa"/>
  </r>
  <r>
    <s v="R12_PAK"/>
    <x v="5"/>
    <s v="useful"/>
    <x v="17"/>
    <x v="0"/>
    <n v="97.617800000000003"/>
    <s v="GWa"/>
  </r>
  <r>
    <s v="R12_PAK"/>
    <x v="6"/>
    <s v="useful"/>
    <x v="17"/>
    <x v="0"/>
    <n v="212.46129999999999"/>
    <s v="GWa"/>
  </r>
  <r>
    <s v="R12_PAK"/>
    <x v="0"/>
    <s v="useful"/>
    <x v="18"/>
    <x v="0"/>
    <n v="67.469300000000004"/>
    <s v="GWa"/>
  </r>
  <r>
    <s v="R12_PAK"/>
    <x v="1"/>
    <s v="useful"/>
    <x v="18"/>
    <x v="0"/>
    <n v="87.500699999999995"/>
    <s v="GWa"/>
  </r>
  <r>
    <s v="R12_PAK"/>
    <x v="2"/>
    <s v="useful"/>
    <x v="18"/>
    <x v="0"/>
    <n v="142.27189999999999"/>
    <s v="GWa"/>
  </r>
  <r>
    <s v="R12_PAK"/>
    <x v="3"/>
    <s v="useful"/>
    <x v="18"/>
    <x v="0"/>
    <n v="0"/>
    <s v="GWa"/>
  </r>
  <r>
    <s v="R12_PAK"/>
    <x v="4"/>
    <s v="useful"/>
    <x v="18"/>
    <x v="0"/>
    <n v="109.57299999999999"/>
    <s v="GWa"/>
  </r>
  <r>
    <s v="R12_PAK"/>
    <x v="5"/>
    <s v="useful"/>
    <x v="18"/>
    <x v="0"/>
    <n v="119.0505"/>
    <s v="GWa"/>
  </r>
  <r>
    <s v="R12_PAK"/>
    <x v="6"/>
    <s v="useful"/>
    <x v="18"/>
    <x v="0"/>
    <n v="257.67570000000001"/>
    <s v="GWa"/>
  </r>
  <r>
    <s v="R12_PAK"/>
    <x v="0"/>
    <s v="useful"/>
    <x v="19"/>
    <x v="0"/>
    <n v="75.774500000000003"/>
    <s v="GWa"/>
  </r>
  <r>
    <s v="R12_PAK"/>
    <x v="1"/>
    <s v="useful"/>
    <x v="19"/>
    <x v="0"/>
    <n v="98.233800000000002"/>
    <s v="GWa"/>
  </r>
  <r>
    <s v="R12_PAK"/>
    <x v="2"/>
    <s v="useful"/>
    <x v="19"/>
    <x v="0"/>
    <n v="152.56020000000001"/>
    <s v="GWa"/>
  </r>
  <r>
    <s v="R12_PAK"/>
    <x v="3"/>
    <s v="useful"/>
    <x v="19"/>
    <x v="0"/>
    <n v="0"/>
    <s v="GWa"/>
  </r>
  <r>
    <s v="R12_PAK"/>
    <x v="4"/>
    <s v="useful"/>
    <x v="19"/>
    <x v="0"/>
    <n v="130.7038"/>
    <s v="GWa"/>
  </r>
  <r>
    <s v="R12_PAK"/>
    <x v="5"/>
    <s v="useful"/>
    <x v="19"/>
    <x v="0"/>
    <n v="134.77869999999999"/>
    <s v="GWa"/>
  </r>
  <r>
    <s v="R12_PAK"/>
    <x v="6"/>
    <s v="useful"/>
    <x v="19"/>
    <x v="0"/>
    <n v="300.48950000000002"/>
    <s v="GW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A8C9C-EC7E-4067-BA00-73C8BFDC5E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9" firstHeaderRow="1" firstDataRow="1" firstDataCol="1"/>
  <pivotFields count="7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2">
        <item x="0"/>
        <item t="default"/>
      </items>
    </pivotField>
    <pivotField dataField="1" showAll="0"/>
    <pivotField showAll="0"/>
  </pivotFields>
  <rowFields count="2">
    <field x="1"/>
    <field x="3"/>
  </rowFields>
  <rowItems count="14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Items count="1">
    <i/>
  </colItems>
  <dataFields count="1">
    <dataField name="Sum of value" fld="5" baseField="0" baseItem="0"/>
  </dataFields>
  <formats count="7">
    <format dxfId="6">
      <pivotArea dataOnly="0" labelOnly="1" fieldPosition="0">
        <references count="2">
          <reference field="1" count="1" selected="0">
            <x v="0"/>
          </reference>
          <reference field="3" count="3">
            <x v="7"/>
            <x v="8"/>
            <x v="9"/>
          </reference>
        </references>
      </pivotArea>
    </format>
    <format dxfId="5">
      <pivotArea dataOnly="0" labelOnly="1" fieldPosition="0">
        <references count="2">
          <reference field="1" count="1" selected="0">
            <x v="1"/>
          </reference>
          <reference field="3" count="3">
            <x v="7"/>
            <x v="8"/>
            <x v="9"/>
          </reference>
        </references>
      </pivotArea>
    </format>
    <format dxfId="4">
      <pivotArea dataOnly="0" labelOnly="1" fieldPosition="0">
        <references count="2">
          <reference field="1" count="1" selected="0">
            <x v="2"/>
          </reference>
          <reference field="3" count="3">
            <x v="7"/>
            <x v="8"/>
            <x v="9"/>
          </reference>
        </references>
      </pivotArea>
    </format>
    <format dxfId="3">
      <pivotArea dataOnly="0" labelOnly="1" fieldPosition="0">
        <references count="2">
          <reference field="1" count="1" selected="0">
            <x v="3"/>
          </reference>
          <reference field="3" count="3">
            <x v="7"/>
            <x v="8"/>
            <x v="9"/>
          </reference>
        </references>
      </pivotArea>
    </format>
    <format dxfId="2">
      <pivotArea dataOnly="0" labelOnly="1" fieldPosition="0">
        <references count="2">
          <reference field="1" count="1" selected="0">
            <x v="4"/>
          </reference>
          <reference field="3" count="3">
            <x v="7"/>
            <x v="8"/>
            <x v="9"/>
          </reference>
        </references>
      </pivotArea>
    </format>
    <format dxfId="1">
      <pivotArea dataOnly="0" labelOnly="1" fieldPosition="0">
        <references count="2">
          <reference field="1" count="1" selected="0">
            <x v="5"/>
          </reference>
          <reference field="3" count="3">
            <x v="7"/>
            <x v="8"/>
            <x v="9"/>
          </reference>
        </references>
      </pivotArea>
    </format>
    <format dxfId="0">
      <pivotArea dataOnly="0" labelOnly="1" fieldPosition="0">
        <references count="2">
          <reference field="1" count="1" selected="0">
            <x v="6"/>
          </reference>
          <reference field="3" count="3"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C8CD-0A57-4D69-8E4F-7BD68534A5E3}">
  <dimension ref="A1:S113"/>
  <sheetViews>
    <sheetView tabSelected="1" topLeftCell="A21" workbookViewId="0">
      <selection activeCell="P106" sqref="P106"/>
    </sheetView>
  </sheetViews>
  <sheetFormatPr defaultRowHeight="14.25" x14ac:dyDescent="0.45"/>
  <cols>
    <col min="2" max="2" width="9.33203125" bestFit="1" customWidth="1"/>
    <col min="8" max="8" width="9.33203125" bestFit="1" customWidth="1"/>
  </cols>
  <sheetData>
    <row r="1" spans="1:19" s="1" customFormat="1" ht="14.65" thickBot="1" x14ac:dyDescent="0.5">
      <c r="A1" s="11" t="s">
        <v>10</v>
      </c>
      <c r="B1" s="12"/>
      <c r="C1" s="12"/>
      <c r="D1" s="12"/>
      <c r="E1" s="12"/>
      <c r="F1" s="13"/>
      <c r="G1" s="11" t="s">
        <v>11</v>
      </c>
      <c r="H1" s="12"/>
      <c r="I1" s="12"/>
      <c r="J1" s="12"/>
      <c r="K1" s="12"/>
      <c r="L1" s="13"/>
      <c r="M1" s="14" t="s">
        <v>37</v>
      </c>
      <c r="N1" s="15"/>
      <c r="O1" s="15"/>
      <c r="P1" s="15"/>
      <c r="Q1" s="15"/>
      <c r="R1" s="15"/>
      <c r="S1" s="15"/>
    </row>
    <row r="2" spans="1:19" x14ac:dyDescent="0.45">
      <c r="A2" t="s">
        <v>0</v>
      </c>
      <c r="B2" t="s">
        <v>1</v>
      </c>
      <c r="C2" t="s">
        <v>2</v>
      </c>
      <c r="D2">
        <v>1990</v>
      </c>
      <c r="E2" t="s">
        <v>3</v>
      </c>
      <c r="F2" s="2">
        <v>2.9</v>
      </c>
      <c r="G2" t="s">
        <v>0</v>
      </c>
      <c r="H2" t="s">
        <v>1</v>
      </c>
      <c r="I2" t="s">
        <v>2</v>
      </c>
      <c r="J2">
        <v>1990</v>
      </c>
      <c r="K2" t="s">
        <v>3</v>
      </c>
      <c r="L2" s="2">
        <v>2.9</v>
      </c>
      <c r="M2" t="s">
        <v>0</v>
      </c>
      <c r="N2" t="s">
        <v>1</v>
      </c>
      <c r="O2" t="s">
        <v>2</v>
      </c>
      <c r="P2">
        <v>1990</v>
      </c>
      <c r="Q2" t="s">
        <v>3</v>
      </c>
      <c r="R2" s="2">
        <v>2.9</v>
      </c>
      <c r="S2" t="s">
        <v>36</v>
      </c>
    </row>
    <row r="3" spans="1:19" x14ac:dyDescent="0.45">
      <c r="A3" t="s">
        <v>0</v>
      </c>
      <c r="B3" t="s">
        <v>1</v>
      </c>
      <c r="C3" t="s">
        <v>2</v>
      </c>
      <c r="D3">
        <v>1995</v>
      </c>
      <c r="E3" t="s">
        <v>3</v>
      </c>
      <c r="F3" s="2">
        <v>2.63</v>
      </c>
      <c r="G3" t="s">
        <v>0</v>
      </c>
      <c r="H3" t="s">
        <v>1</v>
      </c>
      <c r="I3" t="s">
        <v>2</v>
      </c>
      <c r="J3">
        <v>1995</v>
      </c>
      <c r="K3" t="s">
        <v>3</v>
      </c>
      <c r="L3" s="2">
        <v>2.63</v>
      </c>
      <c r="M3" t="s">
        <v>0</v>
      </c>
      <c r="N3" t="s">
        <v>1</v>
      </c>
      <c r="O3" t="s">
        <v>2</v>
      </c>
      <c r="P3">
        <v>1995</v>
      </c>
      <c r="Q3" t="s">
        <v>3</v>
      </c>
      <c r="R3" s="2">
        <v>2.63</v>
      </c>
      <c r="S3" t="s">
        <v>36</v>
      </c>
    </row>
    <row r="4" spans="1:19" x14ac:dyDescent="0.45">
      <c r="A4" t="s">
        <v>0</v>
      </c>
      <c r="B4" t="s">
        <v>1</v>
      </c>
      <c r="C4" t="s">
        <v>2</v>
      </c>
      <c r="D4">
        <v>2000</v>
      </c>
      <c r="E4" t="s">
        <v>3</v>
      </c>
      <c r="F4" s="2">
        <v>3.75</v>
      </c>
      <c r="G4" t="s">
        <v>0</v>
      </c>
      <c r="H4" t="s">
        <v>1</v>
      </c>
      <c r="I4" t="s">
        <v>2</v>
      </c>
      <c r="J4">
        <v>2000</v>
      </c>
      <c r="K4" t="s">
        <v>3</v>
      </c>
      <c r="L4" s="2">
        <v>3.75</v>
      </c>
      <c r="M4" t="s">
        <v>0</v>
      </c>
      <c r="N4" t="s">
        <v>1</v>
      </c>
      <c r="O4" t="s">
        <v>2</v>
      </c>
      <c r="P4">
        <v>2000</v>
      </c>
      <c r="Q4" t="s">
        <v>3</v>
      </c>
      <c r="R4" s="2">
        <v>3.75</v>
      </c>
      <c r="S4" t="s">
        <v>36</v>
      </c>
    </row>
    <row r="5" spans="1:19" x14ac:dyDescent="0.45">
      <c r="A5" t="s">
        <v>0</v>
      </c>
      <c r="B5" t="s">
        <v>1</v>
      </c>
      <c r="C5" t="s">
        <v>2</v>
      </c>
      <c r="D5">
        <v>2005</v>
      </c>
      <c r="E5" t="s">
        <v>3</v>
      </c>
      <c r="F5" s="2">
        <v>4.62</v>
      </c>
      <c r="G5" t="s">
        <v>0</v>
      </c>
      <c r="H5" t="s">
        <v>1</v>
      </c>
      <c r="I5" t="s">
        <v>2</v>
      </c>
      <c r="J5">
        <v>2005</v>
      </c>
      <c r="K5" t="s">
        <v>3</v>
      </c>
      <c r="L5" s="2">
        <v>4.62</v>
      </c>
      <c r="M5" t="s">
        <v>0</v>
      </c>
      <c r="N5" t="s">
        <v>1</v>
      </c>
      <c r="O5" t="s">
        <v>2</v>
      </c>
      <c r="P5">
        <v>2005</v>
      </c>
      <c r="Q5" t="s">
        <v>3</v>
      </c>
      <c r="R5" s="2">
        <v>4.62</v>
      </c>
      <c r="S5" t="s">
        <v>36</v>
      </c>
    </row>
    <row r="6" spans="1:19" x14ac:dyDescent="0.45">
      <c r="A6" t="s">
        <v>0</v>
      </c>
      <c r="B6" t="s">
        <v>1</v>
      </c>
      <c r="C6" t="s">
        <v>2</v>
      </c>
      <c r="D6">
        <v>2010</v>
      </c>
      <c r="E6" t="s">
        <v>3</v>
      </c>
      <c r="F6" s="2">
        <v>4.6500000000000004</v>
      </c>
      <c r="G6" t="s">
        <v>0</v>
      </c>
      <c r="H6" t="s">
        <v>1</v>
      </c>
      <c r="I6" t="s">
        <v>2</v>
      </c>
      <c r="J6">
        <v>2010</v>
      </c>
      <c r="K6" t="s">
        <v>3</v>
      </c>
      <c r="L6" s="2">
        <v>4.6500000000000004</v>
      </c>
      <c r="M6" t="s">
        <v>0</v>
      </c>
      <c r="N6" t="s">
        <v>1</v>
      </c>
      <c r="O6" t="s">
        <v>2</v>
      </c>
      <c r="P6">
        <v>2010</v>
      </c>
      <c r="Q6" t="s">
        <v>3</v>
      </c>
      <c r="R6" s="2">
        <v>4.6500000000000004</v>
      </c>
      <c r="S6" t="s">
        <v>36</v>
      </c>
    </row>
    <row r="7" spans="1:19" x14ac:dyDescent="0.45">
      <c r="A7" t="s">
        <v>0</v>
      </c>
      <c r="B7" t="s">
        <v>1</v>
      </c>
      <c r="C7" t="s">
        <v>2</v>
      </c>
      <c r="D7">
        <v>2015</v>
      </c>
      <c r="E7" t="s">
        <v>3</v>
      </c>
      <c r="F7" s="2">
        <v>4.4408000000000003</v>
      </c>
      <c r="G7" t="s">
        <v>0</v>
      </c>
      <c r="H7" t="s">
        <v>1</v>
      </c>
      <c r="I7" t="s">
        <v>2</v>
      </c>
      <c r="J7">
        <v>2015</v>
      </c>
      <c r="K7" t="s">
        <v>3</v>
      </c>
      <c r="L7" s="2">
        <v>5.22</v>
      </c>
      <c r="M7" t="s">
        <v>0</v>
      </c>
      <c r="N7" t="s">
        <v>1</v>
      </c>
      <c r="O7" t="s">
        <v>2</v>
      </c>
      <c r="P7">
        <v>2015</v>
      </c>
      <c r="Q7" t="s">
        <v>3</v>
      </c>
      <c r="R7" s="2">
        <v>5.22</v>
      </c>
      <c r="S7" t="s">
        <v>36</v>
      </c>
    </row>
    <row r="8" spans="1:19" x14ac:dyDescent="0.45">
      <c r="A8" t="s">
        <v>0</v>
      </c>
      <c r="B8" t="s">
        <v>1</v>
      </c>
      <c r="C8" t="s">
        <v>2</v>
      </c>
      <c r="D8">
        <v>2020</v>
      </c>
      <c r="E8" t="s">
        <v>3</v>
      </c>
      <c r="F8" s="2">
        <v>5.56846</v>
      </c>
      <c r="G8" t="s">
        <v>0</v>
      </c>
      <c r="H8" t="s">
        <v>1</v>
      </c>
      <c r="I8" t="s">
        <v>2</v>
      </c>
      <c r="J8">
        <v>2020</v>
      </c>
      <c r="K8" t="s">
        <v>3</v>
      </c>
      <c r="L8" s="2">
        <v>6.02</v>
      </c>
      <c r="M8" t="s">
        <v>0</v>
      </c>
      <c r="N8" t="s">
        <v>1</v>
      </c>
      <c r="O8" t="s">
        <v>2</v>
      </c>
      <c r="P8">
        <v>2020</v>
      </c>
      <c r="Q8" t="s">
        <v>3</v>
      </c>
      <c r="R8" s="2">
        <v>6.0227999999999993</v>
      </c>
      <c r="S8" t="s">
        <v>36</v>
      </c>
    </row>
    <row r="9" spans="1:19" x14ac:dyDescent="0.45">
      <c r="A9" t="s">
        <v>0</v>
      </c>
      <c r="B9" t="s">
        <v>1</v>
      </c>
      <c r="C9" t="s">
        <v>2</v>
      </c>
      <c r="D9">
        <v>2025</v>
      </c>
      <c r="E9" t="s">
        <v>3</v>
      </c>
      <c r="F9" s="2">
        <v>6.98651</v>
      </c>
      <c r="G9" t="s">
        <v>0</v>
      </c>
      <c r="H9" t="s">
        <v>1</v>
      </c>
      <c r="I9" t="s">
        <v>2</v>
      </c>
      <c r="J9">
        <v>2025</v>
      </c>
      <c r="K9" t="s">
        <v>3</v>
      </c>
      <c r="L9" s="2">
        <v>6.3048000000000002</v>
      </c>
      <c r="M9" t="s">
        <v>0</v>
      </c>
      <c r="N9" t="s">
        <v>1</v>
      </c>
      <c r="O9" t="s">
        <v>2</v>
      </c>
      <c r="P9">
        <v>2025</v>
      </c>
      <c r="Q9" t="s">
        <v>3</v>
      </c>
      <c r="R9" s="2">
        <v>7.5565565217391297</v>
      </c>
      <c r="S9" t="s">
        <v>36</v>
      </c>
    </row>
    <row r="10" spans="1:19" x14ac:dyDescent="0.45">
      <c r="A10" t="s">
        <v>0</v>
      </c>
      <c r="B10" t="s">
        <v>1</v>
      </c>
      <c r="C10" t="s">
        <v>2</v>
      </c>
      <c r="D10">
        <v>2030</v>
      </c>
      <c r="E10" t="s">
        <v>3</v>
      </c>
      <c r="F10" s="2">
        <v>8.40456</v>
      </c>
      <c r="G10" t="s">
        <v>0</v>
      </c>
      <c r="H10" t="s">
        <v>1</v>
      </c>
      <c r="I10" t="s">
        <v>2</v>
      </c>
      <c r="J10">
        <v>2030</v>
      </c>
      <c r="K10" t="s">
        <v>3</v>
      </c>
      <c r="L10" s="2">
        <v>7.7847999999999997</v>
      </c>
      <c r="M10" t="s">
        <v>0</v>
      </c>
      <c r="N10" t="s">
        <v>1</v>
      </c>
      <c r="O10" t="s">
        <v>2</v>
      </c>
      <c r="P10">
        <v>2030</v>
      </c>
      <c r="Q10" t="s">
        <v>3</v>
      </c>
      <c r="R10" s="2">
        <v>9.0903130434782611</v>
      </c>
      <c r="S10" t="s">
        <v>36</v>
      </c>
    </row>
    <row r="11" spans="1:19" x14ac:dyDescent="0.45">
      <c r="A11" t="s">
        <v>0</v>
      </c>
      <c r="B11" t="s">
        <v>1</v>
      </c>
      <c r="C11" t="s">
        <v>2</v>
      </c>
      <c r="D11">
        <v>2035</v>
      </c>
      <c r="E11" t="s">
        <v>3</v>
      </c>
      <c r="F11" s="2">
        <v>10.144299999999999</v>
      </c>
      <c r="G11" t="s">
        <v>0</v>
      </c>
      <c r="H11" t="s">
        <v>1</v>
      </c>
      <c r="I11" t="s">
        <v>2</v>
      </c>
      <c r="J11">
        <v>2035</v>
      </c>
      <c r="K11" t="s">
        <v>3</v>
      </c>
      <c r="L11" s="2">
        <v>10.0428</v>
      </c>
      <c r="M11" t="s">
        <v>0</v>
      </c>
      <c r="N11" t="s">
        <v>1</v>
      </c>
      <c r="O11" t="s">
        <v>2</v>
      </c>
      <c r="P11">
        <v>2035</v>
      </c>
      <c r="Q11" t="s">
        <v>3</v>
      </c>
      <c r="R11" s="2">
        <v>10.972041017227239</v>
      </c>
      <c r="S11" t="s">
        <v>36</v>
      </c>
    </row>
    <row r="12" spans="1:19" x14ac:dyDescent="0.45">
      <c r="A12" t="s">
        <v>0</v>
      </c>
      <c r="B12" t="s">
        <v>1</v>
      </c>
      <c r="C12" t="s">
        <v>2</v>
      </c>
      <c r="D12">
        <v>2040</v>
      </c>
      <c r="E12" t="s">
        <v>3</v>
      </c>
      <c r="F12" s="2">
        <v>11.8841</v>
      </c>
      <c r="G12" t="s">
        <v>0</v>
      </c>
      <c r="H12" t="s">
        <v>1</v>
      </c>
      <c r="I12" t="s">
        <v>2</v>
      </c>
      <c r="J12">
        <v>2040</v>
      </c>
      <c r="K12" t="s">
        <v>3</v>
      </c>
      <c r="L12" s="2">
        <v>13.4095</v>
      </c>
      <c r="M12" t="s">
        <v>0</v>
      </c>
      <c r="N12" t="s">
        <v>1</v>
      </c>
      <c r="O12" t="s">
        <v>2</v>
      </c>
      <c r="P12">
        <v>2040</v>
      </c>
      <c r="Q12" t="s">
        <v>3</v>
      </c>
      <c r="R12" s="2">
        <v>12.85376899097621</v>
      </c>
      <c r="S12" t="s">
        <v>36</v>
      </c>
    </row>
    <row r="13" spans="1:19" x14ac:dyDescent="0.45">
      <c r="A13" t="s">
        <v>0</v>
      </c>
      <c r="B13" t="s">
        <v>1</v>
      </c>
      <c r="C13" t="s">
        <v>2</v>
      </c>
      <c r="D13">
        <v>2045</v>
      </c>
      <c r="E13" t="s">
        <v>3</v>
      </c>
      <c r="F13" s="2">
        <v>13.7727</v>
      </c>
      <c r="G13" t="s">
        <v>0</v>
      </c>
      <c r="H13" t="s">
        <v>1</v>
      </c>
      <c r="I13" t="s">
        <v>2</v>
      </c>
      <c r="J13">
        <v>2045</v>
      </c>
      <c r="K13" t="s">
        <v>3</v>
      </c>
      <c r="L13" s="2">
        <v>16.307400000000001</v>
      </c>
      <c r="M13" t="s">
        <v>0</v>
      </c>
      <c r="N13" t="s">
        <v>1</v>
      </c>
      <c r="O13" t="s">
        <v>2</v>
      </c>
      <c r="P13">
        <v>2045</v>
      </c>
      <c r="Q13" t="s">
        <v>3</v>
      </c>
      <c r="R13" s="2">
        <v>14.89642493847416</v>
      </c>
      <c r="S13" t="s">
        <v>36</v>
      </c>
    </row>
    <row r="14" spans="1:19" x14ac:dyDescent="0.45">
      <c r="A14" t="s">
        <v>0</v>
      </c>
      <c r="B14" t="s">
        <v>1</v>
      </c>
      <c r="C14" t="s">
        <v>2</v>
      </c>
      <c r="D14">
        <v>2050</v>
      </c>
      <c r="E14" t="s">
        <v>3</v>
      </c>
      <c r="F14" s="2">
        <v>15.661199999999999</v>
      </c>
      <c r="G14" t="s">
        <v>0</v>
      </c>
      <c r="H14" t="s">
        <v>1</v>
      </c>
      <c r="I14" t="s">
        <v>2</v>
      </c>
      <c r="J14">
        <v>2050</v>
      </c>
      <c r="K14" t="s">
        <v>3</v>
      </c>
      <c r="L14" s="2">
        <v>19.4358</v>
      </c>
      <c r="M14" t="s">
        <v>0</v>
      </c>
      <c r="N14" t="s">
        <v>1</v>
      </c>
      <c r="O14" t="s">
        <v>2</v>
      </c>
      <c r="P14">
        <v>2050</v>
      </c>
      <c r="Q14" t="s">
        <v>3</v>
      </c>
      <c r="R14" s="2">
        <v>16.93908088597211</v>
      </c>
      <c r="S14" t="s">
        <v>36</v>
      </c>
    </row>
    <row r="15" spans="1:19" x14ac:dyDescent="0.45">
      <c r="A15" t="s">
        <v>0</v>
      </c>
      <c r="B15" t="s">
        <v>1</v>
      </c>
      <c r="C15" t="s">
        <v>2</v>
      </c>
      <c r="D15">
        <v>2055</v>
      </c>
      <c r="E15" t="s">
        <v>3</v>
      </c>
      <c r="F15" s="2">
        <v>17.461099999999998</v>
      </c>
      <c r="G15" t="s">
        <v>0</v>
      </c>
      <c r="H15" t="s">
        <v>1</v>
      </c>
      <c r="I15" t="s">
        <v>2</v>
      </c>
      <c r="J15">
        <v>2055</v>
      </c>
      <c r="K15" t="s">
        <v>3</v>
      </c>
      <c r="L15" s="2">
        <v>22.9528</v>
      </c>
      <c r="M15" t="s">
        <v>0</v>
      </c>
      <c r="N15" t="s">
        <v>1</v>
      </c>
      <c r="O15" t="s">
        <v>2</v>
      </c>
      <c r="P15">
        <v>2055</v>
      </c>
      <c r="Q15" t="s">
        <v>3</v>
      </c>
      <c r="R15" s="2">
        <v>18.88574470877769</v>
      </c>
      <c r="S15" t="s">
        <v>36</v>
      </c>
    </row>
    <row r="16" spans="1:19" x14ac:dyDescent="0.45">
      <c r="A16" t="s">
        <v>0</v>
      </c>
      <c r="B16" t="s">
        <v>1</v>
      </c>
      <c r="C16" t="s">
        <v>2</v>
      </c>
      <c r="D16">
        <v>2060</v>
      </c>
      <c r="E16" t="s">
        <v>3</v>
      </c>
      <c r="F16" s="2">
        <v>19.260200000000001</v>
      </c>
      <c r="G16" t="s">
        <v>0</v>
      </c>
      <c r="H16" t="s">
        <v>1</v>
      </c>
      <c r="I16" t="s">
        <v>2</v>
      </c>
      <c r="J16">
        <v>2060</v>
      </c>
      <c r="K16" t="s">
        <v>3</v>
      </c>
      <c r="L16" s="2">
        <v>26.8705</v>
      </c>
      <c r="M16" t="s">
        <v>0</v>
      </c>
      <c r="N16" t="s">
        <v>1</v>
      </c>
      <c r="O16" t="s">
        <v>2</v>
      </c>
      <c r="P16">
        <v>2060</v>
      </c>
      <c r="Q16" t="s">
        <v>3</v>
      </c>
      <c r="R16" s="2">
        <v>20.831702707137001</v>
      </c>
      <c r="S16" t="s">
        <v>36</v>
      </c>
    </row>
    <row r="17" spans="1:19" s="3" customFormat="1" x14ac:dyDescent="0.45">
      <c r="A17" s="3" t="s">
        <v>0</v>
      </c>
      <c r="B17" s="3" t="s">
        <v>1</v>
      </c>
      <c r="C17" s="3" t="s">
        <v>2</v>
      </c>
      <c r="D17" s="3">
        <v>2070</v>
      </c>
      <c r="E17" s="3" t="s">
        <v>3</v>
      </c>
      <c r="F17" s="3">
        <v>36.256500000000003</v>
      </c>
      <c r="G17" s="3" t="s">
        <v>0</v>
      </c>
      <c r="H17" s="3" t="s">
        <v>1</v>
      </c>
      <c r="I17" s="3" t="s">
        <v>2</v>
      </c>
      <c r="J17" s="3">
        <v>2070</v>
      </c>
      <c r="K17" s="3" t="s">
        <v>3</v>
      </c>
      <c r="L17" s="3">
        <v>36.256500000000003</v>
      </c>
      <c r="M17" s="3" t="s">
        <v>0</v>
      </c>
      <c r="N17" s="3" t="s">
        <v>1</v>
      </c>
      <c r="O17" s="3" t="s">
        <v>2</v>
      </c>
      <c r="P17" s="3">
        <v>2070</v>
      </c>
      <c r="Q17" s="3" t="s">
        <v>3</v>
      </c>
      <c r="R17" s="3">
        <v>24.516812141099269</v>
      </c>
      <c r="S17" s="3" t="s">
        <v>36</v>
      </c>
    </row>
    <row r="18" spans="1:19" x14ac:dyDescent="0.45">
      <c r="A18" t="s">
        <v>0</v>
      </c>
      <c r="B18" t="s">
        <v>4</v>
      </c>
      <c r="C18" t="s">
        <v>2</v>
      </c>
      <c r="D18">
        <v>1990</v>
      </c>
      <c r="E18" t="s">
        <v>3</v>
      </c>
      <c r="F18" s="2">
        <v>0.92</v>
      </c>
      <c r="G18" t="s">
        <v>0</v>
      </c>
      <c r="H18" t="s">
        <v>4</v>
      </c>
      <c r="I18" t="s">
        <v>2</v>
      </c>
      <c r="J18">
        <v>1990</v>
      </c>
      <c r="K18" t="s">
        <v>3</v>
      </c>
      <c r="L18" s="2">
        <v>0.92</v>
      </c>
      <c r="M18" t="s">
        <v>0</v>
      </c>
      <c r="N18" t="s">
        <v>4</v>
      </c>
      <c r="O18" t="s">
        <v>2</v>
      </c>
      <c r="P18">
        <v>1990</v>
      </c>
      <c r="Q18" t="s">
        <v>3</v>
      </c>
      <c r="R18" s="2">
        <v>0.92</v>
      </c>
      <c r="S18" t="s">
        <v>36</v>
      </c>
    </row>
    <row r="19" spans="1:19" x14ac:dyDescent="0.45">
      <c r="A19" t="s">
        <v>0</v>
      </c>
      <c r="B19" t="s">
        <v>4</v>
      </c>
      <c r="C19" t="s">
        <v>2</v>
      </c>
      <c r="D19">
        <v>1995</v>
      </c>
      <c r="E19" t="s">
        <v>3</v>
      </c>
      <c r="F19" s="2">
        <v>1.1299999999999999</v>
      </c>
      <c r="G19" t="s">
        <v>0</v>
      </c>
      <c r="H19" t="s">
        <v>4</v>
      </c>
      <c r="I19" t="s">
        <v>2</v>
      </c>
      <c r="J19">
        <v>1995</v>
      </c>
      <c r="K19" t="s">
        <v>3</v>
      </c>
      <c r="L19" s="2">
        <v>1.1299999999999999</v>
      </c>
      <c r="M19" t="s">
        <v>0</v>
      </c>
      <c r="N19" t="s">
        <v>4</v>
      </c>
      <c r="O19" t="s">
        <v>2</v>
      </c>
      <c r="P19">
        <v>1995</v>
      </c>
      <c r="Q19" t="s">
        <v>3</v>
      </c>
      <c r="R19" s="2">
        <v>1.1299999999999999</v>
      </c>
      <c r="S19" t="s">
        <v>36</v>
      </c>
    </row>
    <row r="20" spans="1:19" x14ac:dyDescent="0.45">
      <c r="A20" t="s">
        <v>0</v>
      </c>
      <c r="B20" t="s">
        <v>4</v>
      </c>
      <c r="C20" t="s">
        <v>2</v>
      </c>
      <c r="D20">
        <v>2000</v>
      </c>
      <c r="E20" t="s">
        <v>3</v>
      </c>
      <c r="F20" s="2">
        <v>1.31</v>
      </c>
      <c r="G20" t="s">
        <v>0</v>
      </c>
      <c r="H20" t="s">
        <v>4</v>
      </c>
      <c r="I20" t="s">
        <v>2</v>
      </c>
      <c r="J20">
        <v>2000</v>
      </c>
      <c r="K20" t="s">
        <v>3</v>
      </c>
      <c r="L20" s="2">
        <v>1.31</v>
      </c>
      <c r="M20" t="s">
        <v>0</v>
      </c>
      <c r="N20" t="s">
        <v>4</v>
      </c>
      <c r="O20" t="s">
        <v>2</v>
      </c>
      <c r="P20">
        <v>2000</v>
      </c>
      <c r="Q20" t="s">
        <v>3</v>
      </c>
      <c r="R20" s="2">
        <v>1.31</v>
      </c>
      <c r="S20" t="s">
        <v>36</v>
      </c>
    </row>
    <row r="21" spans="1:19" x14ac:dyDescent="0.45">
      <c r="A21" t="s">
        <v>0</v>
      </c>
      <c r="B21" t="s">
        <v>4</v>
      </c>
      <c r="C21" t="s">
        <v>2</v>
      </c>
      <c r="D21">
        <v>2005</v>
      </c>
      <c r="E21" t="s">
        <v>3</v>
      </c>
      <c r="F21" s="2">
        <v>2.06</v>
      </c>
      <c r="G21" t="s">
        <v>0</v>
      </c>
      <c r="H21" t="s">
        <v>4</v>
      </c>
      <c r="I21" t="s">
        <v>2</v>
      </c>
      <c r="J21">
        <v>2005</v>
      </c>
      <c r="K21" t="s">
        <v>3</v>
      </c>
      <c r="L21" s="2">
        <v>2.06</v>
      </c>
      <c r="M21" t="s">
        <v>0</v>
      </c>
      <c r="N21" t="s">
        <v>4</v>
      </c>
      <c r="O21" t="s">
        <v>2</v>
      </c>
      <c r="P21">
        <v>2005</v>
      </c>
      <c r="Q21" t="s">
        <v>3</v>
      </c>
      <c r="R21" s="2">
        <v>2.06</v>
      </c>
      <c r="S21" t="s">
        <v>36</v>
      </c>
    </row>
    <row r="22" spans="1:19" x14ac:dyDescent="0.45">
      <c r="A22" t="s">
        <v>0</v>
      </c>
      <c r="B22" t="s">
        <v>4</v>
      </c>
      <c r="C22" t="s">
        <v>2</v>
      </c>
      <c r="D22">
        <v>2010</v>
      </c>
      <c r="E22" t="s">
        <v>3</v>
      </c>
      <c r="F22" s="2">
        <v>2.0699999999999998</v>
      </c>
      <c r="G22" t="s">
        <v>0</v>
      </c>
      <c r="H22" t="s">
        <v>4</v>
      </c>
      <c r="I22" t="s">
        <v>2</v>
      </c>
      <c r="J22">
        <v>2010</v>
      </c>
      <c r="K22" t="s">
        <v>3</v>
      </c>
      <c r="L22" s="2">
        <v>2.0699999999999998</v>
      </c>
      <c r="M22" t="s">
        <v>0</v>
      </c>
      <c r="N22" t="s">
        <v>4</v>
      </c>
      <c r="O22" t="s">
        <v>2</v>
      </c>
      <c r="P22">
        <v>2010</v>
      </c>
      <c r="Q22" t="s">
        <v>3</v>
      </c>
      <c r="R22" s="2">
        <v>2.0699999999999998</v>
      </c>
      <c r="S22" t="s">
        <v>36</v>
      </c>
    </row>
    <row r="23" spans="1:19" x14ac:dyDescent="0.45">
      <c r="A23" t="s">
        <v>0</v>
      </c>
      <c r="B23" t="s">
        <v>4</v>
      </c>
      <c r="C23" t="s">
        <v>2</v>
      </c>
      <c r="D23">
        <v>2015</v>
      </c>
      <c r="E23" t="s">
        <v>3</v>
      </c>
      <c r="F23" s="2">
        <v>2.2845</v>
      </c>
      <c r="G23" t="s">
        <v>0</v>
      </c>
      <c r="H23" t="s">
        <v>4</v>
      </c>
      <c r="I23" t="s">
        <v>2</v>
      </c>
      <c r="J23">
        <v>2015</v>
      </c>
      <c r="K23" t="s">
        <v>3</v>
      </c>
      <c r="L23" s="2">
        <v>2.56</v>
      </c>
      <c r="M23" t="s">
        <v>0</v>
      </c>
      <c r="N23" t="s">
        <v>4</v>
      </c>
      <c r="O23" t="s">
        <v>2</v>
      </c>
      <c r="P23">
        <v>2015</v>
      </c>
      <c r="Q23" t="s">
        <v>3</v>
      </c>
      <c r="R23" s="2">
        <v>2.56</v>
      </c>
      <c r="S23" t="s">
        <v>36</v>
      </c>
    </row>
    <row r="24" spans="1:19" x14ac:dyDescent="0.45">
      <c r="A24" t="s">
        <v>0</v>
      </c>
      <c r="B24" t="s">
        <v>4</v>
      </c>
      <c r="C24" t="s">
        <v>2</v>
      </c>
      <c r="D24">
        <v>2020</v>
      </c>
      <c r="E24" t="s">
        <v>3</v>
      </c>
      <c r="F24" s="16">
        <v>3.1119500000000002</v>
      </c>
      <c r="G24" t="s">
        <v>0</v>
      </c>
      <c r="H24" t="s">
        <v>4</v>
      </c>
      <c r="I24" t="s">
        <v>2</v>
      </c>
      <c r="J24">
        <v>2020</v>
      </c>
      <c r="K24" t="s">
        <v>3</v>
      </c>
      <c r="L24" s="2">
        <v>2.86</v>
      </c>
      <c r="M24" t="s">
        <v>0</v>
      </c>
      <c r="N24" t="s">
        <v>4</v>
      </c>
      <c r="O24" t="s">
        <v>2</v>
      </c>
      <c r="P24">
        <v>2020</v>
      </c>
      <c r="Q24" t="s">
        <v>3</v>
      </c>
      <c r="R24" s="2">
        <v>2.8593999999999999</v>
      </c>
      <c r="S24" t="s">
        <v>36</v>
      </c>
    </row>
    <row r="25" spans="1:19" s="16" customFormat="1" x14ac:dyDescent="0.45">
      <c r="A25" s="16" t="s">
        <v>0</v>
      </c>
      <c r="B25" s="16" t="s">
        <v>4</v>
      </c>
      <c r="C25" s="16" t="s">
        <v>2</v>
      </c>
      <c r="D25" s="16">
        <v>2025</v>
      </c>
      <c r="E25" s="16" t="s">
        <v>3</v>
      </c>
      <c r="F25" s="16">
        <v>4.2878100000000003</v>
      </c>
      <c r="G25" s="16" t="s">
        <v>0</v>
      </c>
      <c r="H25" s="16" t="s">
        <v>4</v>
      </c>
      <c r="I25" s="16" t="s">
        <v>2</v>
      </c>
      <c r="J25" s="16">
        <v>2025</v>
      </c>
      <c r="K25" s="16" t="s">
        <v>3</v>
      </c>
      <c r="L25" s="16">
        <v>4.9093</v>
      </c>
      <c r="M25" s="16" t="s">
        <v>0</v>
      </c>
      <c r="N25" s="16" t="s">
        <v>4</v>
      </c>
      <c r="O25" s="16" t="s">
        <v>2</v>
      </c>
      <c r="P25" s="16">
        <v>2025</v>
      </c>
      <c r="Q25" s="16" t="s">
        <v>3</v>
      </c>
      <c r="R25" s="16">
        <v>3.9398263648928822</v>
      </c>
      <c r="S25" s="16" t="s">
        <v>36</v>
      </c>
    </row>
    <row r="26" spans="1:19" x14ac:dyDescent="0.45">
      <c r="A26" t="s">
        <v>0</v>
      </c>
      <c r="B26" t="s">
        <v>4</v>
      </c>
      <c r="C26" t="s">
        <v>2</v>
      </c>
      <c r="D26">
        <v>2030</v>
      </c>
      <c r="E26" t="s">
        <v>3</v>
      </c>
      <c r="F26" s="2">
        <v>5.4641999999999999</v>
      </c>
      <c r="G26" t="s">
        <v>0</v>
      </c>
      <c r="H26" t="s">
        <v>4</v>
      </c>
      <c r="I26" t="s">
        <v>2</v>
      </c>
      <c r="J26">
        <v>2030</v>
      </c>
      <c r="K26" t="s">
        <v>3</v>
      </c>
      <c r="L26" s="2">
        <v>6.1719999999999997</v>
      </c>
      <c r="M26" t="s">
        <v>0</v>
      </c>
      <c r="N26" t="s">
        <v>4</v>
      </c>
      <c r="O26" t="s">
        <v>2</v>
      </c>
      <c r="P26">
        <v>2030</v>
      </c>
      <c r="Q26" t="s">
        <v>3</v>
      </c>
      <c r="R26" s="2">
        <v>5.0207467519004849</v>
      </c>
      <c r="S26" t="s">
        <v>36</v>
      </c>
    </row>
    <row r="27" spans="1:19" x14ac:dyDescent="0.45">
      <c r="A27" t="s">
        <v>0</v>
      </c>
      <c r="B27" t="s">
        <v>4</v>
      </c>
      <c r="C27" t="s">
        <v>2</v>
      </c>
      <c r="D27">
        <v>2035</v>
      </c>
      <c r="E27" t="s">
        <v>3</v>
      </c>
      <c r="F27" s="2">
        <v>7.3755600000000001</v>
      </c>
      <c r="G27" t="s">
        <v>0</v>
      </c>
      <c r="H27" t="s">
        <v>4</v>
      </c>
      <c r="I27" t="s">
        <v>2</v>
      </c>
      <c r="J27">
        <v>2035</v>
      </c>
      <c r="K27" t="s">
        <v>3</v>
      </c>
      <c r="L27" s="2">
        <v>8.8995999999999995</v>
      </c>
      <c r="M27" t="s">
        <v>0</v>
      </c>
      <c r="N27" t="s">
        <v>4</v>
      </c>
      <c r="O27" t="s">
        <v>2</v>
      </c>
      <c r="P27">
        <v>2035</v>
      </c>
      <c r="Q27" t="s">
        <v>3</v>
      </c>
      <c r="R27" s="2">
        <v>6.7769953697304786</v>
      </c>
      <c r="S27" t="s">
        <v>36</v>
      </c>
    </row>
    <row r="28" spans="1:19" x14ac:dyDescent="0.45">
      <c r="A28" t="s">
        <v>0</v>
      </c>
      <c r="B28" t="s">
        <v>4</v>
      </c>
      <c r="C28" t="s">
        <v>2</v>
      </c>
      <c r="D28">
        <v>2040</v>
      </c>
      <c r="E28" t="s">
        <v>3</v>
      </c>
      <c r="F28" s="2">
        <v>9.2874700000000008</v>
      </c>
      <c r="G28" t="s">
        <v>0</v>
      </c>
      <c r="H28" t="s">
        <v>4</v>
      </c>
      <c r="I28" t="s">
        <v>2</v>
      </c>
      <c r="J28">
        <v>2040</v>
      </c>
      <c r="K28" t="s">
        <v>3</v>
      </c>
      <c r="L28" s="2">
        <v>13.472</v>
      </c>
      <c r="M28" t="s">
        <v>0</v>
      </c>
      <c r="N28" t="s">
        <v>4</v>
      </c>
      <c r="O28" t="s">
        <v>2</v>
      </c>
      <c r="P28">
        <v>2040</v>
      </c>
      <c r="Q28" t="s">
        <v>3</v>
      </c>
      <c r="R28" s="2">
        <v>8.5337380096751936</v>
      </c>
      <c r="S28" t="s">
        <v>36</v>
      </c>
    </row>
    <row r="29" spans="1:19" x14ac:dyDescent="0.45">
      <c r="A29" t="s">
        <v>0</v>
      </c>
      <c r="B29" t="s">
        <v>4</v>
      </c>
      <c r="C29" t="s">
        <v>2</v>
      </c>
      <c r="D29">
        <v>2045</v>
      </c>
      <c r="E29" t="s">
        <v>3</v>
      </c>
      <c r="F29" s="2">
        <v>11.3521</v>
      </c>
      <c r="G29" t="s">
        <v>0</v>
      </c>
      <c r="H29" t="s">
        <v>4</v>
      </c>
      <c r="I29" t="s">
        <v>2</v>
      </c>
      <c r="J29">
        <v>2045</v>
      </c>
      <c r="K29" t="s">
        <v>3</v>
      </c>
      <c r="L29" s="2">
        <v>18.468299999999999</v>
      </c>
      <c r="M29" t="s">
        <v>0</v>
      </c>
      <c r="N29" t="s">
        <v>4</v>
      </c>
      <c r="O29" t="s">
        <v>2</v>
      </c>
      <c r="P29">
        <v>2045</v>
      </c>
      <c r="Q29" t="s">
        <v>3</v>
      </c>
      <c r="R29" s="2">
        <v>10.43078293020042</v>
      </c>
      <c r="S29" t="s">
        <v>36</v>
      </c>
    </row>
    <row r="30" spans="1:19" x14ac:dyDescent="0.45">
      <c r="A30" t="s">
        <v>0</v>
      </c>
      <c r="B30" t="s">
        <v>4</v>
      </c>
      <c r="C30" t="s">
        <v>2</v>
      </c>
      <c r="D30">
        <v>2050</v>
      </c>
      <c r="E30" t="s">
        <v>3</v>
      </c>
      <c r="F30" s="2">
        <v>13.416700000000001</v>
      </c>
      <c r="G30" t="s">
        <v>0</v>
      </c>
      <c r="H30" t="s">
        <v>4</v>
      </c>
      <c r="I30" t="s">
        <v>2</v>
      </c>
      <c r="J30">
        <v>2050</v>
      </c>
      <c r="K30" t="s">
        <v>3</v>
      </c>
      <c r="L30" s="2">
        <v>24.9209</v>
      </c>
      <c r="M30" t="s">
        <v>0</v>
      </c>
      <c r="N30" t="s">
        <v>4</v>
      </c>
      <c r="O30" t="s">
        <v>2</v>
      </c>
      <c r="P30">
        <v>2050</v>
      </c>
      <c r="Q30" t="s">
        <v>3</v>
      </c>
      <c r="R30" s="2">
        <v>12.327827850725649</v>
      </c>
      <c r="S30" t="s">
        <v>36</v>
      </c>
    </row>
    <row r="31" spans="1:19" x14ac:dyDescent="0.45">
      <c r="A31" t="s">
        <v>0</v>
      </c>
      <c r="B31" t="s">
        <v>4</v>
      </c>
      <c r="C31" t="s">
        <v>2</v>
      </c>
      <c r="D31">
        <v>2055</v>
      </c>
      <c r="E31" t="s">
        <v>3</v>
      </c>
      <c r="F31" s="2">
        <v>15.5151</v>
      </c>
      <c r="G31" t="s">
        <v>0</v>
      </c>
      <c r="H31" t="s">
        <v>4</v>
      </c>
      <c r="I31" t="s">
        <v>2</v>
      </c>
      <c r="J31">
        <v>2055</v>
      </c>
      <c r="K31" t="s">
        <v>3</v>
      </c>
      <c r="L31" s="2">
        <v>32.219900000000003</v>
      </c>
      <c r="M31" t="s">
        <v>0</v>
      </c>
      <c r="N31" t="s">
        <v>4</v>
      </c>
      <c r="O31" t="s">
        <v>2</v>
      </c>
      <c r="P31">
        <v>2055</v>
      </c>
      <c r="Q31" t="s">
        <v>3</v>
      </c>
      <c r="R31" s="2">
        <v>14.25599616447824</v>
      </c>
      <c r="S31" t="s">
        <v>36</v>
      </c>
    </row>
    <row r="32" spans="1:19" x14ac:dyDescent="0.45">
      <c r="A32" t="s">
        <v>0</v>
      </c>
      <c r="B32" t="s">
        <v>4</v>
      </c>
      <c r="C32" t="s">
        <v>2</v>
      </c>
      <c r="D32">
        <v>2060</v>
      </c>
      <c r="E32" t="s">
        <v>3</v>
      </c>
      <c r="F32" s="10">
        <v>17.613600000000002</v>
      </c>
      <c r="G32" t="s">
        <v>0</v>
      </c>
      <c r="H32" t="s">
        <v>4</v>
      </c>
      <c r="I32" t="s">
        <v>2</v>
      </c>
      <c r="J32">
        <v>2060</v>
      </c>
      <c r="K32" t="s">
        <v>3</v>
      </c>
      <c r="L32" s="2">
        <v>40.803699999999999</v>
      </c>
      <c r="M32" t="s">
        <v>0</v>
      </c>
      <c r="N32" t="s">
        <v>4</v>
      </c>
      <c r="O32" t="s">
        <v>2</v>
      </c>
      <c r="P32">
        <v>2060</v>
      </c>
      <c r="Q32" t="s">
        <v>3</v>
      </c>
      <c r="R32" s="2">
        <v>16.18416447823083</v>
      </c>
      <c r="S32" t="s">
        <v>36</v>
      </c>
    </row>
    <row r="33" spans="1:19" s="3" customFormat="1" x14ac:dyDescent="0.45">
      <c r="A33" s="3" t="s">
        <v>0</v>
      </c>
      <c r="B33" s="3" t="s">
        <v>4</v>
      </c>
      <c r="C33" s="3" t="s">
        <v>2</v>
      </c>
      <c r="D33" s="3">
        <v>2070</v>
      </c>
      <c r="E33" s="3" t="s">
        <v>3</v>
      </c>
      <c r="F33" s="3">
        <v>53.7973</v>
      </c>
      <c r="G33" s="3" t="s">
        <v>0</v>
      </c>
      <c r="H33" s="3" t="s">
        <v>4</v>
      </c>
      <c r="I33" s="3" t="s">
        <v>2</v>
      </c>
      <c r="J33" s="3">
        <v>2070</v>
      </c>
      <c r="K33" s="3" t="s">
        <v>3</v>
      </c>
      <c r="L33" s="3">
        <v>53.7973</v>
      </c>
      <c r="M33" s="3" t="s">
        <v>0</v>
      </c>
      <c r="N33" s="3" t="s">
        <v>4</v>
      </c>
      <c r="O33" s="3" t="s">
        <v>2</v>
      </c>
      <c r="P33" s="3">
        <v>2070</v>
      </c>
      <c r="Q33" s="3" t="s">
        <v>3</v>
      </c>
      <c r="R33" s="3">
        <v>19.98517062888736</v>
      </c>
      <c r="S33" s="3" t="s">
        <v>36</v>
      </c>
    </row>
    <row r="34" spans="1:19" x14ac:dyDescent="0.45">
      <c r="A34" t="s">
        <v>0</v>
      </c>
      <c r="B34" t="s">
        <v>5</v>
      </c>
      <c r="C34" t="s">
        <v>2</v>
      </c>
      <c r="D34">
        <v>1990</v>
      </c>
      <c r="E34" t="s">
        <v>3</v>
      </c>
      <c r="F34" s="9">
        <v>5.31</v>
      </c>
      <c r="G34" t="s">
        <v>0</v>
      </c>
      <c r="H34" t="s">
        <v>5</v>
      </c>
      <c r="I34" t="s">
        <v>2</v>
      </c>
      <c r="J34">
        <v>1990</v>
      </c>
      <c r="K34" t="s">
        <v>3</v>
      </c>
      <c r="L34" s="8">
        <v>5.31</v>
      </c>
      <c r="M34" t="s">
        <v>0</v>
      </c>
      <c r="N34" t="s">
        <v>5</v>
      </c>
      <c r="O34" t="s">
        <v>2</v>
      </c>
      <c r="P34">
        <v>1990</v>
      </c>
      <c r="Q34" t="s">
        <v>3</v>
      </c>
      <c r="R34" s="8">
        <v>5.31</v>
      </c>
      <c r="S34" t="s">
        <v>36</v>
      </c>
    </row>
    <row r="35" spans="1:19" x14ac:dyDescent="0.45">
      <c r="A35" t="s">
        <v>0</v>
      </c>
      <c r="B35" t="s">
        <v>5</v>
      </c>
      <c r="C35" t="s">
        <v>2</v>
      </c>
      <c r="D35">
        <v>1995</v>
      </c>
      <c r="E35" t="s">
        <v>3</v>
      </c>
      <c r="F35" s="9">
        <v>6.88</v>
      </c>
      <c r="G35" t="s">
        <v>0</v>
      </c>
      <c r="H35" t="s">
        <v>5</v>
      </c>
      <c r="I35" t="s">
        <v>2</v>
      </c>
      <c r="J35">
        <v>1995</v>
      </c>
      <c r="K35" t="s">
        <v>3</v>
      </c>
      <c r="L35" s="8">
        <v>6.88</v>
      </c>
      <c r="M35" t="s">
        <v>0</v>
      </c>
      <c r="N35" t="s">
        <v>5</v>
      </c>
      <c r="O35" t="s">
        <v>2</v>
      </c>
      <c r="P35">
        <v>1995</v>
      </c>
      <c r="Q35" t="s">
        <v>3</v>
      </c>
      <c r="R35" s="8">
        <v>6.88</v>
      </c>
      <c r="S35" t="s">
        <v>36</v>
      </c>
    </row>
    <row r="36" spans="1:19" x14ac:dyDescent="0.45">
      <c r="A36" t="s">
        <v>0</v>
      </c>
      <c r="B36" t="s">
        <v>5</v>
      </c>
      <c r="C36" t="s">
        <v>2</v>
      </c>
      <c r="D36">
        <v>2000</v>
      </c>
      <c r="E36" t="s">
        <v>3</v>
      </c>
      <c r="F36" s="9">
        <v>7.29</v>
      </c>
      <c r="G36" t="s">
        <v>0</v>
      </c>
      <c r="H36" t="s">
        <v>5</v>
      </c>
      <c r="I36" t="s">
        <v>2</v>
      </c>
      <c r="J36">
        <v>2000</v>
      </c>
      <c r="K36" t="s">
        <v>3</v>
      </c>
      <c r="L36" s="8">
        <v>7.29</v>
      </c>
      <c r="M36" t="s">
        <v>0</v>
      </c>
      <c r="N36" t="s">
        <v>5</v>
      </c>
      <c r="O36" t="s">
        <v>2</v>
      </c>
      <c r="P36">
        <v>2000</v>
      </c>
      <c r="Q36" t="s">
        <v>3</v>
      </c>
      <c r="R36" s="8">
        <v>7.29</v>
      </c>
      <c r="S36" t="s">
        <v>36</v>
      </c>
    </row>
    <row r="37" spans="1:19" x14ac:dyDescent="0.45">
      <c r="A37" t="s">
        <v>0</v>
      </c>
      <c r="B37" t="s">
        <v>5</v>
      </c>
      <c r="C37" t="s">
        <v>2</v>
      </c>
      <c r="D37">
        <v>2005</v>
      </c>
      <c r="E37" t="s">
        <v>3</v>
      </c>
      <c r="F37" s="9">
        <v>11.32</v>
      </c>
      <c r="G37" t="s">
        <v>0</v>
      </c>
      <c r="H37" t="s">
        <v>5</v>
      </c>
      <c r="I37" t="s">
        <v>2</v>
      </c>
      <c r="J37">
        <v>2005</v>
      </c>
      <c r="K37" t="s">
        <v>3</v>
      </c>
      <c r="L37" s="8">
        <v>11.32</v>
      </c>
      <c r="M37" t="s">
        <v>0</v>
      </c>
      <c r="N37" t="s">
        <v>5</v>
      </c>
      <c r="O37" t="s">
        <v>2</v>
      </c>
      <c r="P37">
        <v>2005</v>
      </c>
      <c r="Q37" t="s">
        <v>3</v>
      </c>
      <c r="R37" s="8">
        <v>11.32</v>
      </c>
      <c r="S37" t="s">
        <v>36</v>
      </c>
    </row>
    <row r="38" spans="1:19" x14ac:dyDescent="0.45">
      <c r="A38" t="s">
        <v>0</v>
      </c>
      <c r="B38" t="s">
        <v>5</v>
      </c>
      <c r="C38" t="s">
        <v>2</v>
      </c>
      <c r="D38">
        <v>2010</v>
      </c>
      <c r="E38" t="s">
        <v>3</v>
      </c>
      <c r="F38" s="9">
        <v>12.18</v>
      </c>
      <c r="G38" t="s">
        <v>0</v>
      </c>
      <c r="H38" t="s">
        <v>5</v>
      </c>
      <c r="I38" t="s">
        <v>2</v>
      </c>
      <c r="J38">
        <v>2010</v>
      </c>
      <c r="K38" t="s">
        <v>3</v>
      </c>
      <c r="L38" s="8">
        <v>12.18</v>
      </c>
      <c r="M38" t="s">
        <v>0</v>
      </c>
      <c r="N38" t="s">
        <v>5</v>
      </c>
      <c r="O38" t="s">
        <v>2</v>
      </c>
      <c r="P38">
        <v>2010</v>
      </c>
      <c r="Q38" t="s">
        <v>3</v>
      </c>
      <c r="R38" s="8">
        <v>12.18</v>
      </c>
      <c r="S38" t="s">
        <v>36</v>
      </c>
    </row>
    <row r="39" spans="1:19" x14ac:dyDescent="0.45">
      <c r="A39" t="s">
        <v>0</v>
      </c>
      <c r="B39" t="s">
        <v>5</v>
      </c>
      <c r="C39" t="s">
        <v>2</v>
      </c>
      <c r="D39">
        <v>2015</v>
      </c>
      <c r="E39" t="s">
        <v>3</v>
      </c>
      <c r="F39" s="9">
        <v>27.293099999999999</v>
      </c>
      <c r="G39" t="s">
        <v>0</v>
      </c>
      <c r="H39" t="s">
        <v>5</v>
      </c>
      <c r="I39" t="s">
        <v>2</v>
      </c>
      <c r="J39">
        <v>2015</v>
      </c>
      <c r="K39" t="s">
        <v>3</v>
      </c>
      <c r="L39" s="8">
        <v>12.71</v>
      </c>
      <c r="M39" t="s">
        <v>0</v>
      </c>
      <c r="N39" t="s">
        <v>5</v>
      </c>
      <c r="O39" t="s">
        <v>2</v>
      </c>
      <c r="P39">
        <v>2015</v>
      </c>
      <c r="Q39" t="s">
        <v>3</v>
      </c>
      <c r="R39" s="8">
        <v>12.71</v>
      </c>
      <c r="S39" t="s">
        <v>36</v>
      </c>
    </row>
    <row r="40" spans="1:19" x14ac:dyDescent="0.45">
      <c r="A40" t="s">
        <v>0</v>
      </c>
      <c r="B40" t="s">
        <v>5</v>
      </c>
      <c r="C40" t="s">
        <v>2</v>
      </c>
      <c r="D40">
        <v>2020</v>
      </c>
      <c r="E40" t="s">
        <v>3</v>
      </c>
      <c r="F40" s="9">
        <v>34.783999999999999</v>
      </c>
      <c r="G40" t="s">
        <v>0</v>
      </c>
      <c r="H40" t="s">
        <v>5</v>
      </c>
      <c r="I40" t="s">
        <v>2</v>
      </c>
      <c r="J40">
        <v>2020</v>
      </c>
      <c r="K40" t="s">
        <v>3</v>
      </c>
      <c r="L40" s="8">
        <v>15.95</v>
      </c>
      <c r="M40" t="s">
        <v>0</v>
      </c>
      <c r="N40" t="s">
        <v>5</v>
      </c>
      <c r="O40" t="s">
        <v>2</v>
      </c>
      <c r="P40">
        <v>2020</v>
      </c>
      <c r="Q40" t="s">
        <v>3</v>
      </c>
      <c r="R40" s="8">
        <v>15.9474</v>
      </c>
      <c r="S40" t="s">
        <v>36</v>
      </c>
    </row>
    <row r="41" spans="1:19" x14ac:dyDescent="0.45">
      <c r="A41" t="s">
        <v>0</v>
      </c>
      <c r="B41" t="s">
        <v>5</v>
      </c>
      <c r="C41" t="s">
        <v>2</v>
      </c>
      <c r="D41">
        <v>2025</v>
      </c>
      <c r="E41" t="s">
        <v>3</v>
      </c>
      <c r="F41" s="9">
        <v>46.530799999999999</v>
      </c>
      <c r="G41" t="s">
        <v>0</v>
      </c>
      <c r="H41" t="s">
        <v>5</v>
      </c>
      <c r="I41" t="s">
        <v>2</v>
      </c>
      <c r="J41">
        <v>2025</v>
      </c>
      <c r="K41" t="s">
        <v>3</v>
      </c>
      <c r="L41" s="8">
        <v>15.631500000000001</v>
      </c>
      <c r="M41" t="s">
        <v>0</v>
      </c>
      <c r="N41" t="s">
        <v>5</v>
      </c>
      <c r="O41" t="s">
        <v>2</v>
      </c>
      <c r="P41">
        <v>2025</v>
      </c>
      <c r="Q41" t="s">
        <v>3</v>
      </c>
      <c r="R41" s="8">
        <v>21.332965316470801</v>
      </c>
      <c r="S41" t="s">
        <v>36</v>
      </c>
    </row>
    <row r="42" spans="1:19" x14ac:dyDescent="0.45">
      <c r="A42" t="s">
        <v>0</v>
      </c>
      <c r="B42" t="s">
        <v>5</v>
      </c>
      <c r="C42" t="s">
        <v>2</v>
      </c>
      <c r="D42">
        <v>2030</v>
      </c>
      <c r="E42" t="s">
        <v>3</v>
      </c>
      <c r="F42" s="9">
        <v>58.279699999999998</v>
      </c>
      <c r="G42" t="s">
        <v>0</v>
      </c>
      <c r="H42" t="s">
        <v>5</v>
      </c>
      <c r="I42" t="s">
        <v>2</v>
      </c>
      <c r="J42">
        <v>2030</v>
      </c>
      <c r="K42" t="s">
        <v>3</v>
      </c>
      <c r="L42" s="8">
        <v>19.300799999999999</v>
      </c>
      <c r="M42" t="s">
        <v>0</v>
      </c>
      <c r="N42" t="s">
        <v>5</v>
      </c>
      <c r="O42" t="s">
        <v>2</v>
      </c>
      <c r="P42">
        <v>2030</v>
      </c>
      <c r="Q42" t="s">
        <v>3</v>
      </c>
      <c r="R42" s="8">
        <v>26.719481978166201</v>
      </c>
      <c r="S42" t="s">
        <v>36</v>
      </c>
    </row>
    <row r="43" spans="1:19" x14ac:dyDescent="0.45">
      <c r="A43" t="s">
        <v>0</v>
      </c>
      <c r="B43" t="s">
        <v>5</v>
      </c>
      <c r="C43" t="s">
        <v>2</v>
      </c>
      <c r="D43">
        <v>2035</v>
      </c>
      <c r="E43" t="s">
        <v>3</v>
      </c>
      <c r="F43" s="9">
        <v>72.771799999999999</v>
      </c>
      <c r="G43" t="s">
        <v>0</v>
      </c>
      <c r="H43" t="s">
        <v>5</v>
      </c>
      <c r="I43" t="s">
        <v>2</v>
      </c>
      <c r="J43">
        <v>2035</v>
      </c>
      <c r="K43" t="s">
        <v>3</v>
      </c>
      <c r="L43" s="8">
        <v>24.869</v>
      </c>
      <c r="M43" t="s">
        <v>0</v>
      </c>
      <c r="N43" t="s">
        <v>5</v>
      </c>
      <c r="O43" t="s">
        <v>2</v>
      </c>
      <c r="P43">
        <v>2035</v>
      </c>
      <c r="Q43" t="s">
        <v>3</v>
      </c>
      <c r="R43" s="8">
        <v>33.363677026785183</v>
      </c>
      <c r="S43" t="s">
        <v>36</v>
      </c>
    </row>
    <row r="44" spans="1:19" x14ac:dyDescent="0.45">
      <c r="A44" t="s">
        <v>0</v>
      </c>
      <c r="B44" t="s">
        <v>5</v>
      </c>
      <c r="C44" t="s">
        <v>2</v>
      </c>
      <c r="D44">
        <v>2040</v>
      </c>
      <c r="E44" t="s">
        <v>3</v>
      </c>
      <c r="F44" s="9">
        <v>87.263900000000007</v>
      </c>
      <c r="G44" t="s">
        <v>0</v>
      </c>
      <c r="H44" t="s">
        <v>5</v>
      </c>
      <c r="I44" t="s">
        <v>2</v>
      </c>
      <c r="J44">
        <v>2040</v>
      </c>
      <c r="K44" t="s">
        <v>3</v>
      </c>
      <c r="L44" s="8">
        <v>33.052599999999998</v>
      </c>
      <c r="M44" t="s">
        <v>0</v>
      </c>
      <c r="N44" t="s">
        <v>5</v>
      </c>
      <c r="O44" t="s">
        <v>2</v>
      </c>
      <c r="P44">
        <v>2040</v>
      </c>
      <c r="Q44" t="s">
        <v>3</v>
      </c>
      <c r="R44" s="8">
        <v>40.007872075404173</v>
      </c>
      <c r="S44" t="s">
        <v>36</v>
      </c>
    </row>
    <row r="45" spans="1:19" x14ac:dyDescent="0.45">
      <c r="A45" t="s">
        <v>0</v>
      </c>
      <c r="B45" t="s">
        <v>5</v>
      </c>
      <c r="C45" t="s">
        <v>2</v>
      </c>
      <c r="D45">
        <v>2045</v>
      </c>
      <c r="E45" t="s">
        <v>3</v>
      </c>
      <c r="F45" s="9">
        <v>99.392600000000002</v>
      </c>
      <c r="G45" t="s">
        <v>0</v>
      </c>
      <c r="H45" t="s">
        <v>5</v>
      </c>
      <c r="I45" t="s">
        <v>2</v>
      </c>
      <c r="J45">
        <v>2045</v>
      </c>
      <c r="K45" t="s">
        <v>3</v>
      </c>
      <c r="L45" s="8">
        <v>38.9328</v>
      </c>
      <c r="M45" t="s">
        <v>0</v>
      </c>
      <c r="N45" t="s">
        <v>5</v>
      </c>
      <c r="O45" t="s">
        <v>2</v>
      </c>
      <c r="P45">
        <v>2045</v>
      </c>
      <c r="Q45" t="s">
        <v>3</v>
      </c>
      <c r="R45" s="8">
        <v>45.568484913201708</v>
      </c>
      <c r="S45" t="s">
        <v>36</v>
      </c>
    </row>
    <row r="46" spans="1:19" x14ac:dyDescent="0.45">
      <c r="A46" t="s">
        <v>0</v>
      </c>
      <c r="B46" t="s">
        <v>5</v>
      </c>
      <c r="C46" t="s">
        <v>2</v>
      </c>
      <c r="D46">
        <v>2050</v>
      </c>
      <c r="E46" t="s">
        <v>3</v>
      </c>
      <c r="F46" s="9">
        <v>111.521</v>
      </c>
      <c r="G46" t="s">
        <v>0</v>
      </c>
      <c r="H46" t="s">
        <v>5</v>
      </c>
      <c r="I46" t="s">
        <v>2</v>
      </c>
      <c r="J46">
        <v>2050</v>
      </c>
      <c r="K46" t="s">
        <v>3</v>
      </c>
      <c r="L46" s="8">
        <v>45.288800000000002</v>
      </c>
      <c r="M46" t="s">
        <v>0</v>
      </c>
      <c r="N46" t="s">
        <v>5</v>
      </c>
      <c r="O46" t="s">
        <v>2</v>
      </c>
      <c r="P46">
        <v>2050</v>
      </c>
      <c r="Q46" t="s">
        <v>3</v>
      </c>
      <c r="R46" s="8">
        <v>51.129097750999243</v>
      </c>
      <c r="S46" t="s">
        <v>36</v>
      </c>
    </row>
    <row r="47" spans="1:19" x14ac:dyDescent="0.45">
      <c r="A47" t="s">
        <v>0</v>
      </c>
      <c r="B47" t="s">
        <v>5</v>
      </c>
      <c r="C47" t="s">
        <v>2</v>
      </c>
      <c r="D47">
        <v>2055</v>
      </c>
      <c r="E47" t="s">
        <v>3</v>
      </c>
      <c r="F47" s="9">
        <v>123.191</v>
      </c>
      <c r="G47" t="s">
        <v>0</v>
      </c>
      <c r="H47" t="s">
        <v>5</v>
      </c>
      <c r="I47" t="s">
        <v>2</v>
      </c>
      <c r="J47">
        <v>2055</v>
      </c>
      <c r="K47" t="s">
        <v>3</v>
      </c>
      <c r="L47" s="8">
        <v>52.537300000000002</v>
      </c>
      <c r="M47" t="s">
        <v>0</v>
      </c>
      <c r="N47" t="s">
        <v>5</v>
      </c>
      <c r="O47" t="s">
        <v>2</v>
      </c>
      <c r="P47">
        <v>2055</v>
      </c>
      <c r="Q47" t="s">
        <v>3</v>
      </c>
      <c r="R47" s="8">
        <v>56.479463294159757</v>
      </c>
      <c r="S47" t="s">
        <v>36</v>
      </c>
    </row>
    <row r="48" spans="1:19" x14ac:dyDescent="0.45">
      <c r="A48" t="s">
        <v>0</v>
      </c>
      <c r="B48" t="s">
        <v>5</v>
      </c>
      <c r="C48" t="s">
        <v>2</v>
      </c>
      <c r="D48">
        <v>2060</v>
      </c>
      <c r="E48" t="s">
        <v>3</v>
      </c>
      <c r="F48" s="9">
        <v>134.85900000000001</v>
      </c>
      <c r="G48" t="s">
        <v>0</v>
      </c>
      <c r="H48" t="s">
        <v>5</v>
      </c>
      <c r="I48" t="s">
        <v>2</v>
      </c>
      <c r="J48">
        <v>2060</v>
      </c>
      <c r="K48" t="s">
        <v>3</v>
      </c>
      <c r="L48" s="8">
        <v>60.628799999999998</v>
      </c>
      <c r="M48" t="s">
        <v>0</v>
      </c>
      <c r="N48" t="s">
        <v>5</v>
      </c>
      <c r="O48" t="s">
        <v>2</v>
      </c>
      <c r="P48">
        <v>2060</v>
      </c>
      <c r="Q48" t="s">
        <v>3</v>
      </c>
      <c r="R48" s="8">
        <v>61.828877492095693</v>
      </c>
      <c r="S48" t="s">
        <v>36</v>
      </c>
    </row>
    <row r="49" spans="1:19" s="3" customFormat="1" x14ac:dyDescent="0.45">
      <c r="A49" s="3" t="s">
        <v>0</v>
      </c>
      <c r="B49" s="3" t="s">
        <v>5</v>
      </c>
      <c r="C49" s="3" t="s">
        <v>2</v>
      </c>
      <c r="D49" s="3">
        <v>2070</v>
      </c>
      <c r="E49" s="3" t="s">
        <v>3</v>
      </c>
      <c r="F49" s="3">
        <v>81.814300000000003</v>
      </c>
      <c r="G49" s="3" t="s">
        <v>0</v>
      </c>
      <c r="H49" s="3" t="s">
        <v>5</v>
      </c>
      <c r="I49" s="3" t="s">
        <v>2</v>
      </c>
      <c r="J49" s="3">
        <v>2070</v>
      </c>
      <c r="K49" s="3" t="s">
        <v>3</v>
      </c>
      <c r="L49" s="3">
        <v>81.814300000000003</v>
      </c>
      <c r="M49" s="3" t="s">
        <v>0</v>
      </c>
      <c r="N49" s="3" t="s">
        <v>5</v>
      </c>
      <c r="O49" s="3" t="s">
        <v>2</v>
      </c>
      <c r="P49" s="3">
        <v>2070</v>
      </c>
      <c r="Q49" s="3" t="s">
        <v>3</v>
      </c>
      <c r="R49" s="3">
        <v>73.499029362286009</v>
      </c>
      <c r="S49" s="3" t="s">
        <v>36</v>
      </c>
    </row>
    <row r="50" spans="1:19" x14ac:dyDescent="0.45">
      <c r="A50" t="s">
        <v>0</v>
      </c>
      <c r="B50" t="s">
        <v>6</v>
      </c>
      <c r="C50" t="s">
        <v>2</v>
      </c>
      <c r="D50">
        <v>1990</v>
      </c>
      <c r="E50" t="s">
        <v>3</v>
      </c>
      <c r="F50" s="2">
        <v>0.26</v>
      </c>
      <c r="G50" t="s">
        <v>0</v>
      </c>
      <c r="H50" t="s">
        <v>6</v>
      </c>
      <c r="I50" t="s">
        <v>2</v>
      </c>
      <c r="J50">
        <v>1990</v>
      </c>
      <c r="K50" t="s">
        <v>3</v>
      </c>
      <c r="L50" s="2">
        <v>0.26</v>
      </c>
      <c r="M50" t="s">
        <v>0</v>
      </c>
      <c r="N50" t="s">
        <v>6</v>
      </c>
      <c r="O50" t="s">
        <v>2</v>
      </c>
      <c r="P50">
        <v>1990</v>
      </c>
      <c r="Q50" t="s">
        <v>3</v>
      </c>
      <c r="R50" s="8">
        <v>0.26</v>
      </c>
      <c r="S50" t="s">
        <v>36</v>
      </c>
    </row>
    <row r="51" spans="1:19" x14ac:dyDescent="0.45">
      <c r="A51" t="s">
        <v>0</v>
      </c>
      <c r="B51" t="s">
        <v>6</v>
      </c>
      <c r="C51" t="s">
        <v>2</v>
      </c>
      <c r="D51">
        <v>1995</v>
      </c>
      <c r="E51" t="s">
        <v>3</v>
      </c>
      <c r="F51" s="2">
        <v>0.27</v>
      </c>
      <c r="G51" t="s">
        <v>0</v>
      </c>
      <c r="H51" t="s">
        <v>6</v>
      </c>
      <c r="I51" t="s">
        <v>2</v>
      </c>
      <c r="J51">
        <v>1995</v>
      </c>
      <c r="K51" t="s">
        <v>3</v>
      </c>
      <c r="L51" s="2">
        <v>0.27</v>
      </c>
      <c r="M51" t="s">
        <v>0</v>
      </c>
      <c r="N51" t="s">
        <v>6</v>
      </c>
      <c r="O51" t="s">
        <v>2</v>
      </c>
      <c r="P51">
        <v>1995</v>
      </c>
      <c r="Q51" t="s">
        <v>3</v>
      </c>
      <c r="R51" s="8">
        <v>0.27</v>
      </c>
      <c r="S51" t="s">
        <v>36</v>
      </c>
    </row>
    <row r="52" spans="1:19" x14ac:dyDescent="0.45">
      <c r="A52" t="s">
        <v>0</v>
      </c>
      <c r="B52" t="s">
        <v>6</v>
      </c>
      <c r="C52" t="s">
        <v>2</v>
      </c>
      <c r="D52">
        <v>2000</v>
      </c>
      <c r="E52" t="s">
        <v>3</v>
      </c>
      <c r="F52" s="2">
        <v>0.35</v>
      </c>
      <c r="G52" t="s">
        <v>0</v>
      </c>
      <c r="H52" t="s">
        <v>6</v>
      </c>
      <c r="I52" t="s">
        <v>2</v>
      </c>
      <c r="J52">
        <v>2000</v>
      </c>
      <c r="K52" t="s">
        <v>3</v>
      </c>
      <c r="L52" s="2">
        <v>0.35</v>
      </c>
      <c r="M52" t="s">
        <v>0</v>
      </c>
      <c r="N52" t="s">
        <v>6</v>
      </c>
      <c r="O52" t="s">
        <v>2</v>
      </c>
      <c r="P52">
        <v>2000</v>
      </c>
      <c r="Q52" t="s">
        <v>3</v>
      </c>
      <c r="R52" s="8">
        <v>0.35</v>
      </c>
      <c r="S52" t="s">
        <v>36</v>
      </c>
    </row>
    <row r="53" spans="1:19" x14ac:dyDescent="0.45">
      <c r="A53" t="s">
        <v>0</v>
      </c>
      <c r="B53" t="s">
        <v>6</v>
      </c>
      <c r="C53" t="s">
        <v>2</v>
      </c>
      <c r="D53">
        <v>2005</v>
      </c>
      <c r="E53" t="s">
        <v>3</v>
      </c>
      <c r="F53" s="2">
        <v>0.28000000000000003</v>
      </c>
      <c r="G53" t="s">
        <v>0</v>
      </c>
      <c r="H53" t="s">
        <v>6</v>
      </c>
      <c r="I53" t="s">
        <v>2</v>
      </c>
      <c r="J53">
        <v>2005</v>
      </c>
      <c r="K53" t="s">
        <v>3</v>
      </c>
      <c r="L53" s="2">
        <v>0.28000000000000003</v>
      </c>
      <c r="M53" t="s">
        <v>0</v>
      </c>
      <c r="N53" t="s">
        <v>6</v>
      </c>
      <c r="O53" t="s">
        <v>2</v>
      </c>
      <c r="P53">
        <v>2005</v>
      </c>
      <c r="Q53" t="s">
        <v>3</v>
      </c>
      <c r="R53" s="8">
        <v>0.28000000000000003</v>
      </c>
      <c r="S53" t="s">
        <v>36</v>
      </c>
    </row>
    <row r="54" spans="1:19" x14ac:dyDescent="0.45">
      <c r="A54" t="s">
        <v>0</v>
      </c>
      <c r="B54" t="s">
        <v>6</v>
      </c>
      <c r="C54" t="s">
        <v>2</v>
      </c>
      <c r="D54">
        <v>2010</v>
      </c>
      <c r="E54" t="s">
        <v>3</v>
      </c>
      <c r="F54" s="2">
        <v>0.3</v>
      </c>
      <c r="G54" t="s">
        <v>0</v>
      </c>
      <c r="H54" t="s">
        <v>6</v>
      </c>
      <c r="I54" t="s">
        <v>2</v>
      </c>
      <c r="J54">
        <v>2010</v>
      </c>
      <c r="K54" t="s">
        <v>3</v>
      </c>
      <c r="L54" s="2">
        <v>0.3</v>
      </c>
      <c r="M54" t="s">
        <v>0</v>
      </c>
      <c r="N54" t="s">
        <v>6</v>
      </c>
      <c r="O54" t="s">
        <v>2</v>
      </c>
      <c r="P54">
        <v>2010</v>
      </c>
      <c r="Q54" t="s">
        <v>3</v>
      </c>
      <c r="R54" s="8">
        <v>0.3</v>
      </c>
      <c r="S54" t="s">
        <v>36</v>
      </c>
    </row>
    <row r="55" spans="1:19" x14ac:dyDescent="0.45">
      <c r="A55" t="s">
        <v>0</v>
      </c>
      <c r="B55" t="s">
        <v>6</v>
      </c>
      <c r="C55" t="s">
        <v>2</v>
      </c>
      <c r="D55">
        <v>2015</v>
      </c>
      <c r="E55" t="s">
        <v>3</v>
      </c>
      <c r="F55" s="2">
        <v>4.5522</v>
      </c>
      <c r="G55" t="s">
        <v>0</v>
      </c>
      <c r="H55" t="s">
        <v>6</v>
      </c>
      <c r="I55" t="s">
        <v>2</v>
      </c>
      <c r="J55">
        <v>2015</v>
      </c>
      <c r="K55" t="s">
        <v>3</v>
      </c>
      <c r="L55" s="2">
        <v>0.28000000000000003</v>
      </c>
      <c r="M55" t="s">
        <v>0</v>
      </c>
      <c r="N55" t="s">
        <v>6</v>
      </c>
      <c r="O55" t="s">
        <v>2</v>
      </c>
      <c r="P55">
        <v>2015</v>
      </c>
      <c r="Q55" t="s">
        <v>3</v>
      </c>
      <c r="R55" s="8">
        <v>0.28000000000000003</v>
      </c>
      <c r="S55" t="s">
        <v>36</v>
      </c>
    </row>
    <row r="56" spans="1:19" x14ac:dyDescent="0.45">
      <c r="A56" t="s">
        <v>0</v>
      </c>
      <c r="B56" t="s">
        <v>6</v>
      </c>
      <c r="C56" t="s">
        <v>2</v>
      </c>
      <c r="D56">
        <v>2020</v>
      </c>
      <c r="E56" t="s">
        <v>3</v>
      </c>
      <c r="F56" s="2">
        <v>4.78315</v>
      </c>
      <c r="G56" t="s">
        <v>0</v>
      </c>
      <c r="H56" t="s">
        <v>6</v>
      </c>
      <c r="I56" t="s">
        <v>2</v>
      </c>
      <c r="J56">
        <v>2020</v>
      </c>
      <c r="K56" t="s">
        <v>3</v>
      </c>
      <c r="L56" s="2">
        <v>0.26</v>
      </c>
      <c r="M56" t="s">
        <v>0</v>
      </c>
      <c r="N56" t="s">
        <v>6</v>
      </c>
      <c r="O56" t="s">
        <v>2</v>
      </c>
      <c r="P56">
        <v>2020</v>
      </c>
      <c r="Q56" t="s">
        <v>3</v>
      </c>
      <c r="R56" s="8">
        <v>0.26100000000000001</v>
      </c>
      <c r="S56" t="s">
        <v>36</v>
      </c>
    </row>
    <row r="57" spans="1:19" x14ac:dyDescent="0.45">
      <c r="A57" t="s">
        <v>0</v>
      </c>
      <c r="B57" t="s">
        <v>6</v>
      </c>
      <c r="C57" t="s">
        <v>2</v>
      </c>
      <c r="D57">
        <v>2025</v>
      </c>
      <c r="E57" t="s">
        <v>3</v>
      </c>
      <c r="F57" s="2">
        <v>4.9653799999999997</v>
      </c>
      <c r="G57" t="s">
        <v>0</v>
      </c>
      <c r="H57" t="s">
        <v>6</v>
      </c>
      <c r="I57" t="s">
        <v>2</v>
      </c>
      <c r="J57">
        <v>2025</v>
      </c>
      <c r="K57" t="s">
        <v>3</v>
      </c>
      <c r="L57" s="2">
        <v>0</v>
      </c>
      <c r="M57" t="s">
        <v>0</v>
      </c>
      <c r="N57" t="s">
        <v>6</v>
      </c>
      <c r="O57" t="s">
        <v>2</v>
      </c>
      <c r="P57">
        <v>2025</v>
      </c>
      <c r="Q57" t="s">
        <v>3</v>
      </c>
      <c r="R57" s="8">
        <v>0.27094374501631258</v>
      </c>
      <c r="S57" t="s">
        <v>36</v>
      </c>
    </row>
    <row r="58" spans="1:19" x14ac:dyDescent="0.45">
      <c r="A58" t="s">
        <v>0</v>
      </c>
      <c r="B58" t="s">
        <v>6</v>
      </c>
      <c r="C58" t="s">
        <v>2</v>
      </c>
      <c r="D58">
        <v>2030</v>
      </c>
      <c r="E58" t="s">
        <v>3</v>
      </c>
      <c r="F58" s="2">
        <v>5.1476100000000002</v>
      </c>
      <c r="G58" t="s">
        <v>0</v>
      </c>
      <c r="H58" t="s">
        <v>6</v>
      </c>
      <c r="I58" t="s">
        <v>2</v>
      </c>
      <c r="J58">
        <v>2030</v>
      </c>
      <c r="K58" t="s">
        <v>3</v>
      </c>
      <c r="L58" s="2">
        <v>0</v>
      </c>
      <c r="M58" t="s">
        <v>0</v>
      </c>
      <c r="N58" t="s">
        <v>6</v>
      </c>
      <c r="O58" t="s">
        <v>2</v>
      </c>
      <c r="P58">
        <v>2030</v>
      </c>
      <c r="Q58" t="s">
        <v>3</v>
      </c>
      <c r="R58" s="8">
        <v>0.2808874900326252</v>
      </c>
      <c r="S58" t="s">
        <v>36</v>
      </c>
    </row>
    <row r="59" spans="1:19" x14ac:dyDescent="0.45">
      <c r="A59" t="s">
        <v>0</v>
      </c>
      <c r="B59" t="s">
        <v>6</v>
      </c>
      <c r="C59" t="s">
        <v>2</v>
      </c>
      <c r="D59">
        <v>2035</v>
      </c>
      <c r="E59" t="s">
        <v>3</v>
      </c>
      <c r="F59" s="2">
        <v>4.9837499999999997</v>
      </c>
      <c r="G59" t="s">
        <v>0</v>
      </c>
      <c r="H59" t="s">
        <v>6</v>
      </c>
      <c r="I59" t="s">
        <v>2</v>
      </c>
      <c r="J59">
        <v>2035</v>
      </c>
      <c r="K59" t="s">
        <v>3</v>
      </c>
      <c r="L59" s="2">
        <v>0</v>
      </c>
      <c r="M59" t="s">
        <v>0</v>
      </c>
      <c r="N59" t="s">
        <v>6</v>
      </c>
      <c r="O59" t="s">
        <v>2</v>
      </c>
      <c r="P59">
        <v>2035</v>
      </c>
      <c r="Q59" t="s">
        <v>3</v>
      </c>
      <c r="R59" s="8">
        <v>0.27194593217908841</v>
      </c>
      <c r="S59" t="s">
        <v>36</v>
      </c>
    </row>
    <row r="60" spans="1:19" x14ac:dyDescent="0.45">
      <c r="A60" t="s">
        <v>0</v>
      </c>
      <c r="B60" t="s">
        <v>6</v>
      </c>
      <c r="C60" t="s">
        <v>2</v>
      </c>
      <c r="D60">
        <v>2040</v>
      </c>
      <c r="E60" t="s">
        <v>3</v>
      </c>
      <c r="F60" s="2">
        <v>4.8198800000000004</v>
      </c>
      <c r="G60" t="s">
        <v>0</v>
      </c>
      <c r="H60" t="s">
        <v>6</v>
      </c>
      <c r="I60" t="s">
        <v>2</v>
      </c>
      <c r="J60">
        <v>2040</v>
      </c>
      <c r="K60" t="s">
        <v>3</v>
      </c>
      <c r="L60" s="2">
        <v>0</v>
      </c>
      <c r="M60" t="s">
        <v>0</v>
      </c>
      <c r="N60" t="s">
        <v>6</v>
      </c>
      <c r="O60" t="s">
        <v>2</v>
      </c>
      <c r="P60">
        <v>2040</v>
      </c>
      <c r="Q60" t="s">
        <v>3</v>
      </c>
      <c r="R60" s="8">
        <v>0.26300437432555163</v>
      </c>
      <c r="S60" t="s">
        <v>36</v>
      </c>
    </row>
    <row r="61" spans="1:19" x14ac:dyDescent="0.45">
      <c r="A61" t="s">
        <v>0</v>
      </c>
      <c r="B61" t="s">
        <v>6</v>
      </c>
      <c r="C61" t="s">
        <v>2</v>
      </c>
      <c r="D61">
        <v>2045</v>
      </c>
      <c r="E61" t="s">
        <v>3</v>
      </c>
      <c r="F61" s="2">
        <v>4.1952299999999996</v>
      </c>
      <c r="G61" t="s">
        <v>0</v>
      </c>
      <c r="H61" t="s">
        <v>6</v>
      </c>
      <c r="I61" t="s">
        <v>2</v>
      </c>
      <c r="J61">
        <v>2045</v>
      </c>
      <c r="K61" t="s">
        <v>3</v>
      </c>
      <c r="L61" s="2">
        <v>0</v>
      </c>
      <c r="M61" t="s">
        <v>0</v>
      </c>
      <c r="N61" t="s">
        <v>6</v>
      </c>
      <c r="O61" t="s">
        <v>2</v>
      </c>
      <c r="P61">
        <v>2045</v>
      </c>
      <c r="Q61" t="s">
        <v>3</v>
      </c>
      <c r="R61" s="8">
        <v>0.2289191781097582</v>
      </c>
      <c r="S61" t="s">
        <v>36</v>
      </c>
    </row>
    <row r="62" spans="1:19" x14ac:dyDescent="0.45">
      <c r="A62" t="s">
        <v>0</v>
      </c>
      <c r="B62" t="s">
        <v>6</v>
      </c>
      <c r="C62" t="s">
        <v>2</v>
      </c>
      <c r="D62">
        <v>2050</v>
      </c>
      <c r="E62" t="s">
        <v>3</v>
      </c>
      <c r="F62" s="2">
        <v>3.57057</v>
      </c>
      <c r="G62" t="s">
        <v>0</v>
      </c>
      <c r="H62" t="s">
        <v>6</v>
      </c>
      <c r="I62" t="s">
        <v>2</v>
      </c>
      <c r="J62">
        <v>2050</v>
      </c>
      <c r="K62" t="s">
        <v>3</v>
      </c>
      <c r="L62" s="2">
        <v>0</v>
      </c>
      <c r="M62" t="s">
        <v>0</v>
      </c>
      <c r="N62" t="s">
        <v>6</v>
      </c>
      <c r="O62" t="s">
        <v>2</v>
      </c>
      <c r="P62">
        <v>2050</v>
      </c>
      <c r="Q62" t="s">
        <v>3</v>
      </c>
      <c r="R62" s="8">
        <v>0.19483398189396489</v>
      </c>
      <c r="S62" t="s">
        <v>36</v>
      </c>
    </row>
    <row r="63" spans="1:19" x14ac:dyDescent="0.45">
      <c r="A63" t="s">
        <v>0</v>
      </c>
      <c r="B63" t="s">
        <v>6</v>
      </c>
      <c r="C63" t="s">
        <v>2</v>
      </c>
      <c r="D63">
        <v>2055</v>
      </c>
      <c r="E63" t="s">
        <v>3</v>
      </c>
      <c r="F63" s="2">
        <v>2.90326</v>
      </c>
      <c r="G63" t="s">
        <v>0</v>
      </c>
      <c r="H63" t="s">
        <v>6</v>
      </c>
      <c r="I63" t="s">
        <v>2</v>
      </c>
      <c r="J63">
        <v>2055</v>
      </c>
      <c r="K63" t="s">
        <v>3</v>
      </c>
      <c r="L63" s="2">
        <v>0</v>
      </c>
      <c r="M63" t="s">
        <v>0</v>
      </c>
      <c r="N63" t="s">
        <v>6</v>
      </c>
      <c r="O63" t="s">
        <v>2</v>
      </c>
      <c r="P63">
        <v>2055</v>
      </c>
      <c r="Q63" t="s">
        <v>3</v>
      </c>
      <c r="R63" s="8">
        <v>0.15842107222542251</v>
      </c>
      <c r="S63" t="s">
        <v>36</v>
      </c>
    </row>
    <row r="64" spans="1:19" x14ac:dyDescent="0.45">
      <c r="A64" t="s">
        <v>0</v>
      </c>
      <c r="B64" t="s">
        <v>6</v>
      </c>
      <c r="C64" t="s">
        <v>2</v>
      </c>
      <c r="D64">
        <v>2060</v>
      </c>
      <c r="E64" t="s">
        <v>3</v>
      </c>
      <c r="F64" s="2">
        <v>2.2359499999999999</v>
      </c>
      <c r="G64" t="s">
        <v>0</v>
      </c>
      <c r="H64" t="s">
        <v>6</v>
      </c>
      <c r="I64" t="s">
        <v>2</v>
      </c>
      <c r="J64">
        <v>2060</v>
      </c>
      <c r="K64" t="s">
        <v>3</v>
      </c>
      <c r="L64" s="2">
        <v>0</v>
      </c>
      <c r="M64" t="s">
        <v>0</v>
      </c>
      <c r="N64" t="s">
        <v>6</v>
      </c>
      <c r="O64" t="s">
        <v>2</v>
      </c>
      <c r="P64">
        <v>2060</v>
      </c>
      <c r="Q64" t="s">
        <v>3</v>
      </c>
      <c r="R64" s="8">
        <v>0.1220081625568801</v>
      </c>
      <c r="S64" t="s">
        <v>36</v>
      </c>
    </row>
    <row r="65" spans="1:19" s="3" customFormat="1" x14ac:dyDescent="0.45">
      <c r="A65" s="3" t="s">
        <v>0</v>
      </c>
      <c r="B65" s="3" t="s">
        <v>6</v>
      </c>
      <c r="C65" s="3" t="s">
        <v>2</v>
      </c>
      <c r="D65" s="3">
        <v>2070</v>
      </c>
      <c r="E65" s="3" t="s">
        <v>3</v>
      </c>
      <c r="F65" s="3">
        <v>0</v>
      </c>
      <c r="G65" s="3" t="s">
        <v>0</v>
      </c>
      <c r="H65" s="3" t="s">
        <v>6</v>
      </c>
      <c r="I65" s="3" t="s">
        <v>2</v>
      </c>
      <c r="J65" s="3">
        <v>2070</v>
      </c>
      <c r="K65" s="3" t="s">
        <v>3</v>
      </c>
      <c r="L65" s="3">
        <v>0</v>
      </c>
      <c r="M65" s="3" t="s">
        <v>0</v>
      </c>
      <c r="N65" s="3" t="s">
        <v>6</v>
      </c>
      <c r="O65" s="3" t="s">
        <v>2</v>
      </c>
      <c r="P65" s="3">
        <v>2070</v>
      </c>
      <c r="Q65" s="3" t="s">
        <v>3</v>
      </c>
      <c r="R65" s="3">
        <v>6.3833577665030838E-2</v>
      </c>
      <c r="S65" s="3" t="s">
        <v>36</v>
      </c>
    </row>
    <row r="66" spans="1:19" x14ac:dyDescent="0.45">
      <c r="A66" t="s">
        <v>0</v>
      </c>
      <c r="B66" t="s">
        <v>7</v>
      </c>
      <c r="C66" t="s">
        <v>2</v>
      </c>
      <c r="D66">
        <v>1990</v>
      </c>
      <c r="E66" t="s">
        <v>3</v>
      </c>
      <c r="F66" s="2">
        <v>0.6</v>
      </c>
      <c r="G66" t="s">
        <v>0</v>
      </c>
      <c r="H66" t="s">
        <v>7</v>
      </c>
      <c r="I66" t="s">
        <v>2</v>
      </c>
      <c r="J66">
        <v>1990</v>
      </c>
      <c r="K66" t="s">
        <v>3</v>
      </c>
      <c r="L66" s="2">
        <v>0.6</v>
      </c>
      <c r="M66" t="s">
        <v>0</v>
      </c>
      <c r="N66" t="s">
        <v>7</v>
      </c>
      <c r="O66" t="s">
        <v>2</v>
      </c>
      <c r="P66">
        <v>1990</v>
      </c>
      <c r="Q66" t="s">
        <v>3</v>
      </c>
      <c r="R66" s="2">
        <v>0.6</v>
      </c>
      <c r="S66" t="s">
        <v>36</v>
      </c>
    </row>
    <row r="67" spans="1:19" x14ac:dyDescent="0.45">
      <c r="A67" t="s">
        <v>0</v>
      </c>
      <c r="B67" t="s">
        <v>7</v>
      </c>
      <c r="C67" t="s">
        <v>2</v>
      </c>
      <c r="D67">
        <v>1995</v>
      </c>
      <c r="E67" t="s">
        <v>3</v>
      </c>
      <c r="F67" s="2">
        <v>0.97</v>
      </c>
      <c r="G67" t="s">
        <v>0</v>
      </c>
      <c r="H67" t="s">
        <v>7</v>
      </c>
      <c r="I67" t="s">
        <v>2</v>
      </c>
      <c r="J67">
        <v>1995</v>
      </c>
      <c r="K67" t="s">
        <v>3</v>
      </c>
      <c r="L67" s="2">
        <v>0.97</v>
      </c>
      <c r="M67" t="s">
        <v>0</v>
      </c>
      <c r="N67" t="s">
        <v>7</v>
      </c>
      <c r="O67" t="s">
        <v>2</v>
      </c>
      <c r="P67">
        <v>1995</v>
      </c>
      <c r="Q67" t="s">
        <v>3</v>
      </c>
      <c r="R67" s="2">
        <v>0.97</v>
      </c>
      <c r="S67" t="s">
        <v>36</v>
      </c>
    </row>
    <row r="68" spans="1:19" x14ac:dyDescent="0.45">
      <c r="A68" t="s">
        <v>0</v>
      </c>
      <c r="B68" t="s">
        <v>7</v>
      </c>
      <c r="C68" t="s">
        <v>2</v>
      </c>
      <c r="D68">
        <v>2000</v>
      </c>
      <c r="E68" t="s">
        <v>3</v>
      </c>
      <c r="F68" s="2">
        <v>1.1100000000000001</v>
      </c>
      <c r="G68" t="s">
        <v>0</v>
      </c>
      <c r="H68" t="s">
        <v>7</v>
      </c>
      <c r="I68" t="s">
        <v>2</v>
      </c>
      <c r="J68">
        <v>2000</v>
      </c>
      <c r="K68" t="s">
        <v>3</v>
      </c>
      <c r="L68" s="2">
        <v>1.1100000000000001</v>
      </c>
      <c r="M68" t="s">
        <v>0</v>
      </c>
      <c r="N68" t="s">
        <v>7</v>
      </c>
      <c r="O68" t="s">
        <v>2</v>
      </c>
      <c r="P68">
        <v>2000</v>
      </c>
      <c r="Q68" t="s">
        <v>3</v>
      </c>
      <c r="R68" s="2">
        <v>1.1100000000000001</v>
      </c>
      <c r="S68" t="s">
        <v>36</v>
      </c>
    </row>
    <row r="69" spans="1:19" x14ac:dyDescent="0.45">
      <c r="A69" t="s">
        <v>0</v>
      </c>
      <c r="B69" t="s">
        <v>7</v>
      </c>
      <c r="C69" t="s">
        <v>2</v>
      </c>
      <c r="D69">
        <v>2005</v>
      </c>
      <c r="E69" t="s">
        <v>3</v>
      </c>
      <c r="F69" s="2">
        <v>1.71</v>
      </c>
      <c r="G69" t="s">
        <v>0</v>
      </c>
      <c r="H69" t="s">
        <v>7</v>
      </c>
      <c r="I69" t="s">
        <v>2</v>
      </c>
      <c r="J69">
        <v>2005</v>
      </c>
      <c r="K69" t="s">
        <v>3</v>
      </c>
      <c r="L69" s="2">
        <v>1.71</v>
      </c>
      <c r="M69" t="s">
        <v>0</v>
      </c>
      <c r="N69" t="s">
        <v>7</v>
      </c>
      <c r="O69" t="s">
        <v>2</v>
      </c>
      <c r="P69">
        <v>2005</v>
      </c>
      <c r="Q69" t="s">
        <v>3</v>
      </c>
      <c r="R69" s="2">
        <v>1.71</v>
      </c>
      <c r="S69" t="s">
        <v>36</v>
      </c>
    </row>
    <row r="70" spans="1:19" x14ac:dyDescent="0.45">
      <c r="A70" t="s">
        <v>0</v>
      </c>
      <c r="B70" t="s">
        <v>7</v>
      </c>
      <c r="C70" t="s">
        <v>2</v>
      </c>
      <c r="D70">
        <v>2010</v>
      </c>
      <c r="E70" t="s">
        <v>3</v>
      </c>
      <c r="F70" s="2">
        <v>2.1800000000000002</v>
      </c>
      <c r="G70" t="s">
        <v>0</v>
      </c>
      <c r="H70" t="s">
        <v>7</v>
      </c>
      <c r="I70" t="s">
        <v>2</v>
      </c>
      <c r="J70">
        <v>2010</v>
      </c>
      <c r="K70" t="s">
        <v>3</v>
      </c>
      <c r="L70" s="2">
        <v>2.1800000000000002</v>
      </c>
      <c r="M70" t="s">
        <v>0</v>
      </c>
      <c r="N70" t="s">
        <v>7</v>
      </c>
      <c r="O70" t="s">
        <v>2</v>
      </c>
      <c r="P70">
        <v>2010</v>
      </c>
      <c r="Q70" t="s">
        <v>3</v>
      </c>
      <c r="R70" s="2">
        <v>2.1800000000000002</v>
      </c>
      <c r="S70" t="s">
        <v>36</v>
      </c>
    </row>
    <row r="71" spans="1:19" x14ac:dyDescent="0.45">
      <c r="A71" t="s">
        <v>0</v>
      </c>
      <c r="B71" t="s">
        <v>7</v>
      </c>
      <c r="C71" t="s">
        <v>2</v>
      </c>
      <c r="D71">
        <v>2015</v>
      </c>
      <c r="E71" t="s">
        <v>3</v>
      </c>
      <c r="F71" s="2">
        <v>3</v>
      </c>
      <c r="G71" t="s">
        <v>0</v>
      </c>
      <c r="H71" t="s">
        <v>7</v>
      </c>
      <c r="I71" t="s">
        <v>2</v>
      </c>
      <c r="J71">
        <v>2015</v>
      </c>
      <c r="K71" t="s">
        <v>3</v>
      </c>
      <c r="L71" s="2">
        <v>2.75</v>
      </c>
      <c r="M71" t="s">
        <v>0</v>
      </c>
      <c r="N71" t="s">
        <v>7</v>
      </c>
      <c r="O71" t="s">
        <v>2</v>
      </c>
      <c r="P71">
        <v>2015</v>
      </c>
      <c r="Q71" t="s">
        <v>3</v>
      </c>
      <c r="R71" s="2">
        <v>2.75</v>
      </c>
      <c r="S71" t="s">
        <v>36</v>
      </c>
    </row>
    <row r="72" spans="1:19" x14ac:dyDescent="0.45">
      <c r="A72" t="s">
        <v>0</v>
      </c>
      <c r="B72" t="s">
        <v>7</v>
      </c>
      <c r="C72" t="s">
        <v>2</v>
      </c>
      <c r="D72">
        <v>2020</v>
      </c>
      <c r="E72" t="s">
        <v>3</v>
      </c>
      <c r="F72" s="2">
        <v>5.66859</v>
      </c>
      <c r="G72" t="s">
        <v>0</v>
      </c>
      <c r="H72" t="s">
        <v>7</v>
      </c>
      <c r="I72" t="s">
        <v>2</v>
      </c>
      <c r="J72">
        <v>2020</v>
      </c>
      <c r="K72" t="s">
        <v>3</v>
      </c>
      <c r="L72" s="2">
        <v>3.89</v>
      </c>
      <c r="M72" t="s">
        <v>0</v>
      </c>
      <c r="N72" t="s">
        <v>7</v>
      </c>
      <c r="O72" t="s">
        <v>2</v>
      </c>
      <c r="P72">
        <v>2020</v>
      </c>
      <c r="Q72" t="s">
        <v>3</v>
      </c>
      <c r="R72" s="2">
        <v>3.8919000000000001</v>
      </c>
      <c r="S72" t="s">
        <v>36</v>
      </c>
    </row>
    <row r="73" spans="1:19" x14ac:dyDescent="0.45">
      <c r="A73" t="s">
        <v>0</v>
      </c>
      <c r="B73" t="s">
        <v>7</v>
      </c>
      <c r="C73" t="s">
        <v>2</v>
      </c>
      <c r="D73">
        <v>2025</v>
      </c>
      <c r="E73" t="s">
        <v>3</v>
      </c>
      <c r="F73" s="2">
        <v>8.9607299999999999</v>
      </c>
      <c r="G73" t="s">
        <v>0</v>
      </c>
      <c r="H73" t="s">
        <v>7</v>
      </c>
      <c r="I73" t="s">
        <v>2</v>
      </c>
      <c r="J73">
        <v>2025</v>
      </c>
      <c r="K73" t="s">
        <v>3</v>
      </c>
      <c r="L73" s="2">
        <v>6.7675999999999998</v>
      </c>
      <c r="M73" t="s">
        <v>0</v>
      </c>
      <c r="N73" t="s">
        <v>7</v>
      </c>
      <c r="O73" t="s">
        <v>2</v>
      </c>
      <c r="P73">
        <v>2025</v>
      </c>
      <c r="Q73" t="s">
        <v>3</v>
      </c>
      <c r="R73" s="2">
        <v>6.1521999168744799</v>
      </c>
      <c r="S73" t="s">
        <v>36</v>
      </c>
    </row>
    <row r="74" spans="1:19" x14ac:dyDescent="0.45">
      <c r="A74" t="s">
        <v>0</v>
      </c>
      <c r="B74" t="s">
        <v>7</v>
      </c>
      <c r="C74" t="s">
        <v>2</v>
      </c>
      <c r="D74">
        <v>2030</v>
      </c>
      <c r="E74" t="s">
        <v>3</v>
      </c>
      <c r="F74" s="2">
        <v>12.256</v>
      </c>
      <c r="G74" t="s">
        <v>0</v>
      </c>
      <c r="H74" t="s">
        <v>7</v>
      </c>
      <c r="I74" t="s">
        <v>2</v>
      </c>
      <c r="J74">
        <v>2030</v>
      </c>
      <c r="K74" t="s">
        <v>3</v>
      </c>
      <c r="L74" s="2">
        <v>9.3523999999999994</v>
      </c>
      <c r="M74" t="s">
        <v>0</v>
      </c>
      <c r="N74" t="s">
        <v>7</v>
      </c>
      <c r="O74" t="s">
        <v>2</v>
      </c>
      <c r="P74">
        <v>2030</v>
      </c>
      <c r="Q74" t="s">
        <v>3</v>
      </c>
      <c r="R74" s="2">
        <v>8.4146566084788024</v>
      </c>
      <c r="S74" t="s">
        <v>36</v>
      </c>
    </row>
    <row r="75" spans="1:19" x14ac:dyDescent="0.45">
      <c r="A75" t="s">
        <v>0</v>
      </c>
      <c r="B75" t="s">
        <v>7</v>
      </c>
      <c r="C75" t="s">
        <v>2</v>
      </c>
      <c r="D75">
        <v>2035</v>
      </c>
      <c r="E75" t="s">
        <v>3</v>
      </c>
      <c r="F75" s="2">
        <v>16.3414</v>
      </c>
      <c r="G75" t="s">
        <v>0</v>
      </c>
      <c r="H75" t="s">
        <v>7</v>
      </c>
      <c r="I75" t="s">
        <v>2</v>
      </c>
      <c r="J75">
        <v>2035</v>
      </c>
      <c r="K75" t="s">
        <v>3</v>
      </c>
      <c r="L75" s="2">
        <v>12.7439</v>
      </c>
      <c r="M75" t="s">
        <v>0</v>
      </c>
      <c r="N75" t="s">
        <v>7</v>
      </c>
      <c r="O75" t="s">
        <v>2</v>
      </c>
      <c r="P75">
        <v>2035</v>
      </c>
      <c r="Q75" t="s">
        <v>3</v>
      </c>
      <c r="R75" s="2">
        <v>11.2195421446384</v>
      </c>
      <c r="S75" t="s">
        <v>36</v>
      </c>
    </row>
    <row r="76" spans="1:19" x14ac:dyDescent="0.45">
      <c r="A76" t="s">
        <v>0</v>
      </c>
      <c r="B76" t="s">
        <v>7</v>
      </c>
      <c r="C76" t="s">
        <v>2</v>
      </c>
      <c r="D76">
        <v>2040</v>
      </c>
      <c r="E76" t="s">
        <v>3</v>
      </c>
      <c r="F76" s="2">
        <v>20.4251</v>
      </c>
      <c r="G76" t="s">
        <v>0</v>
      </c>
      <c r="H76" t="s">
        <v>7</v>
      </c>
      <c r="I76" t="s">
        <v>2</v>
      </c>
      <c r="J76">
        <v>2040</v>
      </c>
      <c r="K76" t="s">
        <v>3</v>
      </c>
      <c r="L76" s="2">
        <v>16.663499999999999</v>
      </c>
      <c r="M76" t="s">
        <v>0</v>
      </c>
      <c r="N76" t="s">
        <v>7</v>
      </c>
      <c r="O76" t="s">
        <v>2</v>
      </c>
      <c r="P76">
        <v>2040</v>
      </c>
      <c r="Q76" t="s">
        <v>3</v>
      </c>
      <c r="R76" s="2">
        <v>14.02334929343308</v>
      </c>
      <c r="S76" t="s">
        <v>36</v>
      </c>
    </row>
    <row r="77" spans="1:19" x14ac:dyDescent="0.45">
      <c r="A77" t="s">
        <v>0</v>
      </c>
      <c r="B77" t="s">
        <v>7</v>
      </c>
      <c r="C77" t="s">
        <v>2</v>
      </c>
      <c r="D77">
        <v>2045</v>
      </c>
      <c r="E77" t="s">
        <v>3</v>
      </c>
      <c r="F77" s="2">
        <v>25.0901</v>
      </c>
      <c r="G77" t="s">
        <v>0</v>
      </c>
      <c r="H77" t="s">
        <v>7</v>
      </c>
      <c r="I77" t="s">
        <v>2</v>
      </c>
      <c r="J77">
        <v>2045</v>
      </c>
      <c r="K77" t="s">
        <v>3</v>
      </c>
      <c r="L77" s="2">
        <v>21.449100000000001</v>
      </c>
      <c r="M77" t="s">
        <v>0</v>
      </c>
      <c r="N77" t="s">
        <v>7</v>
      </c>
      <c r="O77" t="s">
        <v>2</v>
      </c>
      <c r="P77">
        <v>2045</v>
      </c>
      <c r="Q77" t="s">
        <v>3</v>
      </c>
      <c r="R77" s="2">
        <v>17.22615976724855</v>
      </c>
      <c r="S77" t="s">
        <v>36</v>
      </c>
    </row>
    <row r="78" spans="1:19" x14ac:dyDescent="0.45">
      <c r="A78" t="s">
        <v>0</v>
      </c>
      <c r="B78" t="s">
        <v>7</v>
      </c>
      <c r="C78" t="s">
        <v>2</v>
      </c>
      <c r="D78">
        <v>2050</v>
      </c>
      <c r="E78" t="s">
        <v>3</v>
      </c>
      <c r="F78" s="2">
        <v>29.753399999999999</v>
      </c>
      <c r="G78" t="s">
        <v>0</v>
      </c>
      <c r="H78" t="s">
        <v>7</v>
      </c>
      <c r="I78" t="s">
        <v>2</v>
      </c>
      <c r="J78">
        <v>2050</v>
      </c>
      <c r="K78" t="s">
        <v>3</v>
      </c>
      <c r="L78" s="2">
        <v>26.866700000000002</v>
      </c>
      <c r="M78" t="s">
        <v>0</v>
      </c>
      <c r="N78" t="s">
        <v>7</v>
      </c>
      <c r="O78" t="s">
        <v>2</v>
      </c>
      <c r="P78">
        <v>2050</v>
      </c>
      <c r="Q78" t="s">
        <v>3</v>
      </c>
      <c r="R78" s="2">
        <v>20.427891853699091</v>
      </c>
      <c r="S78" t="s">
        <v>36</v>
      </c>
    </row>
    <row r="79" spans="1:19" x14ac:dyDescent="0.45">
      <c r="A79" t="s">
        <v>0</v>
      </c>
      <c r="B79" t="s">
        <v>7</v>
      </c>
      <c r="C79" t="s">
        <v>2</v>
      </c>
      <c r="D79">
        <v>2055</v>
      </c>
      <c r="E79" t="s">
        <v>3</v>
      </c>
      <c r="F79" s="2">
        <v>36.276400000000002</v>
      </c>
      <c r="G79" t="s">
        <v>0</v>
      </c>
      <c r="H79" t="s">
        <v>7</v>
      </c>
      <c r="I79" t="s">
        <v>2</v>
      </c>
      <c r="J79">
        <v>2055</v>
      </c>
      <c r="K79" t="s">
        <v>3</v>
      </c>
      <c r="L79" s="2">
        <v>33.268700000000003</v>
      </c>
      <c r="M79" t="s">
        <v>0</v>
      </c>
      <c r="N79" t="s">
        <v>7</v>
      </c>
      <c r="O79" t="s">
        <v>2</v>
      </c>
      <c r="P79">
        <v>2055</v>
      </c>
      <c r="Q79" t="s">
        <v>3</v>
      </c>
      <c r="R79" s="2">
        <v>24.906434580216121</v>
      </c>
      <c r="S79" t="s">
        <v>36</v>
      </c>
    </row>
    <row r="80" spans="1:19" x14ac:dyDescent="0.45">
      <c r="A80" t="s">
        <v>0</v>
      </c>
      <c r="B80" t="s">
        <v>7</v>
      </c>
      <c r="C80" t="s">
        <v>2</v>
      </c>
      <c r="D80">
        <v>2060</v>
      </c>
      <c r="E80" t="s">
        <v>3</v>
      </c>
      <c r="F80" s="2">
        <v>42.802599999999998</v>
      </c>
      <c r="G80" t="s">
        <v>0</v>
      </c>
      <c r="H80" t="s">
        <v>7</v>
      </c>
      <c r="I80" t="s">
        <v>2</v>
      </c>
      <c r="J80">
        <v>2060</v>
      </c>
      <c r="K80" t="s">
        <v>3</v>
      </c>
      <c r="L80" s="2">
        <v>39.765700000000002</v>
      </c>
      <c r="M80" t="s">
        <v>0</v>
      </c>
      <c r="N80" t="s">
        <v>7</v>
      </c>
      <c r="O80" t="s">
        <v>2</v>
      </c>
      <c r="P80">
        <v>2060</v>
      </c>
      <c r="Q80" t="s">
        <v>3</v>
      </c>
      <c r="R80" s="2">
        <v>29.387134081463</v>
      </c>
      <c r="S80" t="s">
        <v>36</v>
      </c>
    </row>
    <row r="81" spans="1:19" s="3" customFormat="1" x14ac:dyDescent="0.45">
      <c r="A81" s="3" t="s">
        <v>0</v>
      </c>
      <c r="B81" s="3" t="s">
        <v>7</v>
      </c>
      <c r="C81" s="3" t="s">
        <v>2</v>
      </c>
      <c r="D81" s="3">
        <v>2070</v>
      </c>
      <c r="E81" s="3" t="s">
        <v>3</v>
      </c>
      <c r="F81" s="3">
        <v>55.871400000000001</v>
      </c>
      <c r="G81" s="3" t="s">
        <v>0</v>
      </c>
      <c r="H81" s="3" t="s">
        <v>7</v>
      </c>
      <c r="I81" s="3" t="s">
        <v>2</v>
      </c>
      <c r="J81" s="3">
        <v>2070</v>
      </c>
      <c r="K81" s="3" t="s">
        <v>3</v>
      </c>
      <c r="L81" s="3">
        <v>55.871400000000001</v>
      </c>
      <c r="M81" s="3" t="s">
        <v>0</v>
      </c>
      <c r="N81" s="3" t="s">
        <v>7</v>
      </c>
      <c r="O81" s="3" t="s">
        <v>2</v>
      </c>
      <c r="P81" s="3">
        <v>2070</v>
      </c>
      <c r="Q81" s="3" t="s">
        <v>3</v>
      </c>
      <c r="R81" s="3">
        <v>42.111026600166248</v>
      </c>
      <c r="S81" s="3" t="s">
        <v>36</v>
      </c>
    </row>
    <row r="82" spans="1:19" x14ac:dyDescent="0.45">
      <c r="A82" t="s">
        <v>0</v>
      </c>
      <c r="B82" t="s">
        <v>8</v>
      </c>
      <c r="C82" t="s">
        <v>2</v>
      </c>
      <c r="D82">
        <v>1990</v>
      </c>
      <c r="E82" t="s">
        <v>3</v>
      </c>
      <c r="F82" s="9">
        <v>3.97</v>
      </c>
      <c r="G82" t="s">
        <v>0</v>
      </c>
      <c r="H82" t="s">
        <v>8</v>
      </c>
      <c r="I82" t="s">
        <v>2</v>
      </c>
      <c r="J82">
        <v>1990</v>
      </c>
      <c r="K82" t="s">
        <v>3</v>
      </c>
      <c r="L82" s="8">
        <v>3.97</v>
      </c>
      <c r="M82" t="s">
        <v>0</v>
      </c>
      <c r="N82" t="s">
        <v>8</v>
      </c>
      <c r="O82" t="s">
        <v>2</v>
      </c>
      <c r="P82">
        <v>1990</v>
      </c>
      <c r="Q82" t="s">
        <v>3</v>
      </c>
      <c r="R82" s="8">
        <v>3.97</v>
      </c>
      <c r="S82" t="s">
        <v>36</v>
      </c>
    </row>
    <row r="83" spans="1:19" x14ac:dyDescent="0.45">
      <c r="A83" t="s">
        <v>0</v>
      </c>
      <c r="B83" t="s">
        <v>8</v>
      </c>
      <c r="C83" t="s">
        <v>2</v>
      </c>
      <c r="D83">
        <v>1995</v>
      </c>
      <c r="E83" t="s">
        <v>3</v>
      </c>
      <c r="F83" s="9">
        <v>4.05</v>
      </c>
      <c r="G83" t="s">
        <v>0</v>
      </c>
      <c r="H83" t="s">
        <v>8</v>
      </c>
      <c r="I83" t="s">
        <v>2</v>
      </c>
      <c r="J83">
        <v>1995</v>
      </c>
      <c r="K83" t="s">
        <v>3</v>
      </c>
      <c r="L83" s="8">
        <v>4.05</v>
      </c>
      <c r="M83" t="s">
        <v>0</v>
      </c>
      <c r="N83" t="s">
        <v>8</v>
      </c>
      <c r="O83" t="s">
        <v>2</v>
      </c>
      <c r="P83">
        <v>1995</v>
      </c>
      <c r="Q83" t="s">
        <v>3</v>
      </c>
      <c r="R83" s="8">
        <v>4.05</v>
      </c>
      <c r="S83" t="s">
        <v>36</v>
      </c>
    </row>
    <row r="84" spans="1:19" x14ac:dyDescent="0.45">
      <c r="A84" t="s">
        <v>0</v>
      </c>
      <c r="B84" t="s">
        <v>8</v>
      </c>
      <c r="C84" t="s">
        <v>2</v>
      </c>
      <c r="D84">
        <v>2000</v>
      </c>
      <c r="E84" t="s">
        <v>3</v>
      </c>
      <c r="F84" s="9">
        <v>5.09</v>
      </c>
      <c r="G84" t="s">
        <v>0</v>
      </c>
      <c r="H84" t="s">
        <v>8</v>
      </c>
      <c r="I84" t="s">
        <v>2</v>
      </c>
      <c r="J84">
        <v>2000</v>
      </c>
      <c r="K84" t="s">
        <v>3</v>
      </c>
      <c r="L84" s="8">
        <v>5.09</v>
      </c>
      <c r="M84" t="s">
        <v>0</v>
      </c>
      <c r="N84" t="s">
        <v>8</v>
      </c>
      <c r="O84" t="s">
        <v>2</v>
      </c>
      <c r="P84">
        <v>2000</v>
      </c>
      <c r="Q84" t="s">
        <v>3</v>
      </c>
      <c r="R84" s="8">
        <v>5.09</v>
      </c>
      <c r="S84" t="s">
        <v>36</v>
      </c>
    </row>
    <row r="85" spans="1:19" x14ac:dyDescent="0.45">
      <c r="A85" t="s">
        <v>0</v>
      </c>
      <c r="B85" t="s">
        <v>8</v>
      </c>
      <c r="C85" t="s">
        <v>2</v>
      </c>
      <c r="D85">
        <v>2005</v>
      </c>
      <c r="E85" t="s">
        <v>3</v>
      </c>
      <c r="F85" s="9">
        <v>5.89</v>
      </c>
      <c r="G85" t="s">
        <v>0</v>
      </c>
      <c r="H85" t="s">
        <v>8</v>
      </c>
      <c r="I85" t="s">
        <v>2</v>
      </c>
      <c r="J85">
        <v>2005</v>
      </c>
      <c r="K85" t="s">
        <v>3</v>
      </c>
      <c r="L85" s="8">
        <v>5.89</v>
      </c>
      <c r="M85" t="s">
        <v>0</v>
      </c>
      <c r="N85" t="s">
        <v>8</v>
      </c>
      <c r="O85" t="s">
        <v>2</v>
      </c>
      <c r="P85">
        <v>2005</v>
      </c>
      <c r="Q85" t="s">
        <v>3</v>
      </c>
      <c r="R85" s="8">
        <v>5.89</v>
      </c>
      <c r="S85" t="s">
        <v>36</v>
      </c>
    </row>
    <row r="86" spans="1:19" x14ac:dyDescent="0.45">
      <c r="A86" t="s">
        <v>0</v>
      </c>
      <c r="B86" t="s">
        <v>8</v>
      </c>
      <c r="C86" t="s">
        <v>2</v>
      </c>
      <c r="D86">
        <v>2010</v>
      </c>
      <c r="E86" t="s">
        <v>3</v>
      </c>
      <c r="F86" s="9">
        <v>7.39</v>
      </c>
      <c r="G86" t="s">
        <v>0</v>
      </c>
      <c r="H86" t="s">
        <v>8</v>
      </c>
      <c r="I86" t="s">
        <v>2</v>
      </c>
      <c r="J86">
        <v>2010</v>
      </c>
      <c r="K86" t="s">
        <v>3</v>
      </c>
      <c r="L86" s="8">
        <v>7.39</v>
      </c>
      <c r="M86" t="s">
        <v>0</v>
      </c>
      <c r="N86" t="s">
        <v>8</v>
      </c>
      <c r="O86" t="s">
        <v>2</v>
      </c>
      <c r="P86">
        <v>2010</v>
      </c>
      <c r="Q86" t="s">
        <v>3</v>
      </c>
      <c r="R86" s="8">
        <v>7.39</v>
      </c>
      <c r="S86" t="s">
        <v>36</v>
      </c>
    </row>
    <row r="87" spans="1:19" x14ac:dyDescent="0.45">
      <c r="A87" t="s">
        <v>0</v>
      </c>
      <c r="B87" t="s">
        <v>8</v>
      </c>
      <c r="C87" t="s">
        <v>2</v>
      </c>
      <c r="D87">
        <v>2015</v>
      </c>
      <c r="E87" t="s">
        <v>3</v>
      </c>
      <c r="F87" s="9">
        <v>26.277100000000001</v>
      </c>
      <c r="G87" t="s">
        <v>0</v>
      </c>
      <c r="H87" t="s">
        <v>8</v>
      </c>
      <c r="I87" t="s">
        <v>2</v>
      </c>
      <c r="J87">
        <v>2015</v>
      </c>
      <c r="K87" t="s">
        <v>3</v>
      </c>
      <c r="L87" s="8">
        <v>8.93</v>
      </c>
      <c r="M87" t="s">
        <v>0</v>
      </c>
      <c r="N87" t="s">
        <v>8</v>
      </c>
      <c r="O87" t="s">
        <v>2</v>
      </c>
      <c r="P87">
        <v>2015</v>
      </c>
      <c r="Q87" t="s">
        <v>3</v>
      </c>
      <c r="R87" s="8">
        <v>8.93</v>
      </c>
      <c r="S87" t="s">
        <v>36</v>
      </c>
    </row>
    <row r="88" spans="1:19" x14ac:dyDescent="0.45">
      <c r="A88" t="s">
        <v>0</v>
      </c>
      <c r="B88" t="s">
        <v>8</v>
      </c>
      <c r="C88" t="s">
        <v>2</v>
      </c>
      <c r="D88">
        <v>2020</v>
      </c>
      <c r="E88" t="s">
        <v>3</v>
      </c>
      <c r="F88" s="9">
        <v>28.0244</v>
      </c>
      <c r="G88" t="s">
        <v>0</v>
      </c>
      <c r="H88" t="s">
        <v>8</v>
      </c>
      <c r="I88" t="s">
        <v>2</v>
      </c>
      <c r="J88">
        <v>2020</v>
      </c>
      <c r="K88" t="s">
        <v>3</v>
      </c>
      <c r="L88" s="8">
        <v>10.050000000000001</v>
      </c>
      <c r="M88" t="s">
        <v>0</v>
      </c>
      <c r="N88" t="s">
        <v>8</v>
      </c>
      <c r="O88" t="s">
        <v>2</v>
      </c>
      <c r="P88">
        <v>2020</v>
      </c>
      <c r="Q88" t="s">
        <v>3</v>
      </c>
      <c r="R88" s="8">
        <v>10.0512</v>
      </c>
      <c r="S88" t="s">
        <v>36</v>
      </c>
    </row>
    <row r="89" spans="1:19" ht="16.899999999999999" customHeight="1" x14ac:dyDescent="0.45">
      <c r="A89" t="s">
        <v>0</v>
      </c>
      <c r="B89" t="s">
        <v>8</v>
      </c>
      <c r="C89" t="s">
        <v>2</v>
      </c>
      <c r="D89">
        <v>2025</v>
      </c>
      <c r="E89" t="s">
        <v>3</v>
      </c>
      <c r="F89" s="9">
        <v>33.315300000000001</v>
      </c>
      <c r="G89" t="s">
        <v>0</v>
      </c>
      <c r="H89" t="s">
        <v>8</v>
      </c>
      <c r="I89" t="s">
        <v>2</v>
      </c>
      <c r="J89">
        <v>2025</v>
      </c>
      <c r="K89" t="s">
        <v>3</v>
      </c>
      <c r="L89" s="8">
        <v>12.324999999999999</v>
      </c>
      <c r="M89" t="s">
        <v>0</v>
      </c>
      <c r="N89" t="s">
        <v>8</v>
      </c>
      <c r="O89" t="s">
        <v>2</v>
      </c>
      <c r="P89">
        <v>2025</v>
      </c>
      <c r="Q89" t="s">
        <v>3</v>
      </c>
      <c r="R89" s="8">
        <v>11.94879957000806</v>
      </c>
      <c r="S89" t="s">
        <v>36</v>
      </c>
    </row>
    <row r="90" spans="1:19" x14ac:dyDescent="0.45">
      <c r="A90" t="s">
        <v>0</v>
      </c>
      <c r="B90" t="s">
        <v>8</v>
      </c>
      <c r="C90" t="s">
        <v>2</v>
      </c>
      <c r="D90">
        <v>2030</v>
      </c>
      <c r="E90" t="s">
        <v>3</v>
      </c>
      <c r="F90" s="9">
        <v>38.606099999999998</v>
      </c>
      <c r="G90" t="s">
        <v>0</v>
      </c>
      <c r="H90" t="s">
        <v>8</v>
      </c>
      <c r="I90" t="s">
        <v>2</v>
      </c>
      <c r="J90">
        <v>2030</v>
      </c>
      <c r="K90" t="s">
        <v>3</v>
      </c>
      <c r="L90" s="8">
        <v>15.078900000000001</v>
      </c>
      <c r="M90" t="s">
        <v>0</v>
      </c>
      <c r="N90" t="s">
        <v>8</v>
      </c>
      <c r="O90" t="s">
        <v>2</v>
      </c>
      <c r="P90">
        <v>2030</v>
      </c>
      <c r="Q90" t="s">
        <v>3</v>
      </c>
      <c r="R90" s="8">
        <v>13.84639914001613</v>
      </c>
      <c r="S90" t="s">
        <v>36</v>
      </c>
    </row>
    <row r="91" spans="1:19" x14ac:dyDescent="0.45">
      <c r="A91" t="s">
        <v>0</v>
      </c>
      <c r="B91" t="s">
        <v>8</v>
      </c>
      <c r="C91" t="s">
        <v>2</v>
      </c>
      <c r="D91">
        <v>2035</v>
      </c>
      <c r="E91" t="s">
        <v>3</v>
      </c>
      <c r="F91" s="9">
        <v>51.021599999999999</v>
      </c>
      <c r="G91" t="s">
        <v>0</v>
      </c>
      <c r="H91" t="s">
        <v>8</v>
      </c>
      <c r="I91" t="s">
        <v>2</v>
      </c>
      <c r="J91">
        <v>2035</v>
      </c>
      <c r="K91" t="s">
        <v>3</v>
      </c>
      <c r="L91" s="8">
        <v>19.886900000000001</v>
      </c>
      <c r="M91" t="s">
        <v>0</v>
      </c>
      <c r="N91" t="s">
        <v>8</v>
      </c>
      <c r="O91" t="s">
        <v>2</v>
      </c>
      <c r="P91">
        <v>2035</v>
      </c>
      <c r="Q91" t="s">
        <v>3</v>
      </c>
      <c r="R91" s="8">
        <v>18.299342757323299</v>
      </c>
      <c r="S91" t="s">
        <v>36</v>
      </c>
    </row>
    <row r="92" spans="1:19" x14ac:dyDescent="0.45">
      <c r="A92" t="s">
        <v>0</v>
      </c>
      <c r="B92" t="s">
        <v>8</v>
      </c>
      <c r="C92" t="s">
        <v>2</v>
      </c>
      <c r="D92">
        <v>2040</v>
      </c>
      <c r="E92" t="s">
        <v>3</v>
      </c>
      <c r="F92" s="9">
        <v>63.437199999999997</v>
      </c>
      <c r="G92" t="s">
        <v>0</v>
      </c>
      <c r="H92" t="s">
        <v>8</v>
      </c>
      <c r="I92" t="s">
        <v>2</v>
      </c>
      <c r="J92">
        <v>2040</v>
      </c>
      <c r="K92" t="s">
        <v>3</v>
      </c>
      <c r="L92" s="8">
        <v>23.121300000000002</v>
      </c>
      <c r="M92" t="s">
        <v>0</v>
      </c>
      <c r="N92" t="s">
        <v>8</v>
      </c>
      <c r="O92" t="s">
        <v>2</v>
      </c>
      <c r="P92">
        <v>2040</v>
      </c>
      <c r="Q92" t="s">
        <v>3</v>
      </c>
      <c r="R92" s="8">
        <v>22.752286374630479</v>
      </c>
      <c r="S92" t="s">
        <v>36</v>
      </c>
    </row>
    <row r="93" spans="1:19" x14ac:dyDescent="0.45">
      <c r="A93" t="s">
        <v>0</v>
      </c>
      <c r="B93" t="s">
        <v>8</v>
      </c>
      <c r="C93" t="s">
        <v>2</v>
      </c>
      <c r="D93">
        <v>2045</v>
      </c>
      <c r="E93" t="s">
        <v>3</v>
      </c>
      <c r="F93" s="9">
        <v>83.636499999999998</v>
      </c>
      <c r="G93" t="s">
        <v>0</v>
      </c>
      <c r="H93" t="s">
        <v>8</v>
      </c>
      <c r="I93" t="s">
        <v>2</v>
      </c>
      <c r="J93">
        <v>2045</v>
      </c>
      <c r="K93" t="s">
        <v>3</v>
      </c>
      <c r="L93" s="8">
        <v>30.3568</v>
      </c>
      <c r="M93" t="s">
        <v>0</v>
      </c>
      <c r="N93" t="s">
        <v>8</v>
      </c>
      <c r="O93" t="s">
        <v>2</v>
      </c>
      <c r="P93">
        <v>2045</v>
      </c>
      <c r="Q93" t="s">
        <v>3</v>
      </c>
      <c r="R93" s="8">
        <v>29.996929857565171</v>
      </c>
      <c r="S93" t="s">
        <v>36</v>
      </c>
    </row>
    <row r="94" spans="1:19" x14ac:dyDescent="0.45">
      <c r="A94" t="s">
        <v>0</v>
      </c>
      <c r="B94" t="s">
        <v>8</v>
      </c>
      <c r="C94" t="s">
        <v>2</v>
      </c>
      <c r="D94">
        <v>2050</v>
      </c>
      <c r="E94" t="s">
        <v>3</v>
      </c>
      <c r="F94" s="9">
        <v>103.836</v>
      </c>
      <c r="G94" t="s">
        <v>0</v>
      </c>
      <c r="H94" t="s">
        <v>8</v>
      </c>
      <c r="I94" t="s">
        <v>2</v>
      </c>
      <c r="J94">
        <v>2050</v>
      </c>
      <c r="K94" t="s">
        <v>3</v>
      </c>
      <c r="L94" s="8">
        <v>37.659700000000001</v>
      </c>
      <c r="M94" t="s">
        <v>0</v>
      </c>
      <c r="N94" t="s">
        <v>8</v>
      </c>
      <c r="O94" t="s">
        <v>2</v>
      </c>
      <c r="P94">
        <v>2050</v>
      </c>
      <c r="Q94" t="s">
        <v>3</v>
      </c>
      <c r="R94" s="8">
        <v>37.241573340499869</v>
      </c>
      <c r="S94" t="s">
        <v>36</v>
      </c>
    </row>
    <row r="95" spans="1:19" x14ac:dyDescent="0.45">
      <c r="A95" t="s">
        <v>0</v>
      </c>
      <c r="B95" t="s">
        <v>8</v>
      </c>
      <c r="C95" t="s">
        <v>2</v>
      </c>
      <c r="D95">
        <v>2055</v>
      </c>
      <c r="E95" t="s">
        <v>3</v>
      </c>
      <c r="F95" s="9">
        <v>129.86799999999999</v>
      </c>
      <c r="G95" t="s">
        <v>0</v>
      </c>
      <c r="H95" t="s">
        <v>8</v>
      </c>
      <c r="I95" t="s">
        <v>2</v>
      </c>
      <c r="J95">
        <v>2055</v>
      </c>
      <c r="K95" t="s">
        <v>3</v>
      </c>
      <c r="L95" s="8">
        <v>44.638300000000001</v>
      </c>
      <c r="M95" t="s">
        <v>0</v>
      </c>
      <c r="N95" t="s">
        <v>8</v>
      </c>
      <c r="O95" t="s">
        <v>2</v>
      </c>
      <c r="P95">
        <v>2055</v>
      </c>
      <c r="Q95" t="s">
        <v>3</v>
      </c>
      <c r="R95" s="8">
        <v>46.578303466809977</v>
      </c>
      <c r="S95" t="s">
        <v>36</v>
      </c>
    </row>
    <row r="96" spans="1:19" x14ac:dyDescent="0.45">
      <c r="A96" t="s">
        <v>0</v>
      </c>
      <c r="B96" t="s">
        <v>8</v>
      </c>
      <c r="C96" t="s">
        <v>2</v>
      </c>
      <c r="D96">
        <v>2060</v>
      </c>
      <c r="E96" t="s">
        <v>3</v>
      </c>
      <c r="F96" s="9">
        <v>155.9</v>
      </c>
      <c r="G96" t="s">
        <v>0</v>
      </c>
      <c r="H96" t="s">
        <v>8</v>
      </c>
      <c r="I96" t="s">
        <v>2</v>
      </c>
      <c r="J96">
        <v>2060</v>
      </c>
      <c r="K96" t="s">
        <v>3</v>
      </c>
      <c r="L96" s="8">
        <v>50.340899999999998</v>
      </c>
      <c r="M96" t="s">
        <v>0</v>
      </c>
      <c r="N96" t="s">
        <v>8</v>
      </c>
      <c r="O96" t="s">
        <v>2</v>
      </c>
      <c r="P96">
        <v>2060</v>
      </c>
      <c r="Q96" t="s">
        <v>3</v>
      </c>
      <c r="R96" s="8">
        <v>55.915033593120107</v>
      </c>
      <c r="S96" t="s">
        <v>36</v>
      </c>
    </row>
    <row r="97" spans="1:19" s="3" customFormat="1" x14ac:dyDescent="0.45">
      <c r="A97" s="3" t="s">
        <v>0</v>
      </c>
      <c r="B97" s="3" t="s">
        <v>8</v>
      </c>
      <c r="C97" s="3" t="s">
        <v>2</v>
      </c>
      <c r="D97" s="3">
        <v>2070</v>
      </c>
      <c r="E97" s="3" t="s">
        <v>3</v>
      </c>
      <c r="F97" s="3">
        <v>63.513300000000001</v>
      </c>
      <c r="G97" s="3" t="s">
        <v>0</v>
      </c>
      <c r="H97" s="3" t="s">
        <v>8</v>
      </c>
      <c r="I97" s="3" t="s">
        <v>2</v>
      </c>
      <c r="J97" s="3">
        <v>2070</v>
      </c>
      <c r="K97" s="3" t="s">
        <v>3</v>
      </c>
      <c r="L97" s="3">
        <v>63.513300000000001</v>
      </c>
      <c r="M97" s="3" t="s">
        <v>0</v>
      </c>
      <c r="N97" s="3" t="s">
        <v>8</v>
      </c>
      <c r="O97" s="3" t="s">
        <v>2</v>
      </c>
      <c r="P97" s="3">
        <v>2070</v>
      </c>
      <c r="Q97" s="3" t="s">
        <v>3</v>
      </c>
      <c r="R97" s="3">
        <v>76.488794625100766</v>
      </c>
      <c r="S97" s="3" t="s">
        <v>36</v>
      </c>
    </row>
    <row r="98" spans="1:19" x14ac:dyDescent="0.45">
      <c r="A98" t="s">
        <v>0</v>
      </c>
      <c r="B98" t="s">
        <v>9</v>
      </c>
      <c r="C98" t="s">
        <v>2</v>
      </c>
      <c r="D98">
        <v>1990</v>
      </c>
      <c r="E98" t="s">
        <v>3</v>
      </c>
      <c r="F98" s="2">
        <v>6.61</v>
      </c>
      <c r="G98" t="s">
        <v>0</v>
      </c>
      <c r="H98" t="s">
        <v>9</v>
      </c>
      <c r="I98" t="s">
        <v>2</v>
      </c>
      <c r="J98">
        <v>1990</v>
      </c>
      <c r="K98" t="s">
        <v>3</v>
      </c>
      <c r="L98" s="2">
        <v>6.61</v>
      </c>
      <c r="M98" t="s">
        <v>0</v>
      </c>
      <c r="N98" t="s">
        <v>9</v>
      </c>
      <c r="O98" t="s">
        <v>2</v>
      </c>
      <c r="P98">
        <v>1990</v>
      </c>
      <c r="Q98" t="s">
        <v>3</v>
      </c>
      <c r="R98" s="2">
        <v>6.61</v>
      </c>
      <c r="S98" t="s">
        <v>36</v>
      </c>
    </row>
    <row r="99" spans="1:19" x14ac:dyDescent="0.45">
      <c r="A99" t="s">
        <v>0</v>
      </c>
      <c r="B99" t="s">
        <v>9</v>
      </c>
      <c r="C99" t="s">
        <v>2</v>
      </c>
      <c r="D99">
        <v>1995</v>
      </c>
      <c r="E99" t="s">
        <v>3</v>
      </c>
      <c r="F99" s="2">
        <v>9.52</v>
      </c>
      <c r="G99" t="s">
        <v>0</v>
      </c>
      <c r="H99" t="s">
        <v>9</v>
      </c>
      <c r="I99" t="s">
        <v>2</v>
      </c>
      <c r="J99">
        <v>1995</v>
      </c>
      <c r="K99" t="s">
        <v>3</v>
      </c>
      <c r="L99" s="2">
        <v>9.52</v>
      </c>
      <c r="M99" t="s">
        <v>0</v>
      </c>
      <c r="N99" t="s">
        <v>9</v>
      </c>
      <c r="O99" t="s">
        <v>2</v>
      </c>
      <c r="P99">
        <v>1995</v>
      </c>
      <c r="Q99" t="s">
        <v>3</v>
      </c>
      <c r="R99" s="2">
        <v>9.52</v>
      </c>
      <c r="S99" t="s">
        <v>36</v>
      </c>
    </row>
    <row r="100" spans="1:19" x14ac:dyDescent="0.45">
      <c r="A100" t="s">
        <v>0</v>
      </c>
      <c r="B100" t="s">
        <v>9</v>
      </c>
      <c r="C100" t="s">
        <v>2</v>
      </c>
      <c r="D100">
        <v>2000</v>
      </c>
      <c r="E100" t="s">
        <v>3</v>
      </c>
      <c r="F100" s="2">
        <v>11.98</v>
      </c>
      <c r="G100" t="s">
        <v>0</v>
      </c>
      <c r="H100" t="s">
        <v>9</v>
      </c>
      <c r="I100" t="s">
        <v>2</v>
      </c>
      <c r="J100">
        <v>2000</v>
      </c>
      <c r="K100" t="s">
        <v>3</v>
      </c>
      <c r="L100" s="2">
        <v>11.98</v>
      </c>
      <c r="M100" t="s">
        <v>0</v>
      </c>
      <c r="N100" t="s">
        <v>9</v>
      </c>
      <c r="O100" t="s">
        <v>2</v>
      </c>
      <c r="P100">
        <v>2000</v>
      </c>
      <c r="Q100" t="s">
        <v>3</v>
      </c>
      <c r="R100" s="2">
        <v>11.98</v>
      </c>
      <c r="S100" t="s">
        <v>36</v>
      </c>
    </row>
    <row r="101" spans="1:19" x14ac:dyDescent="0.45">
      <c r="A101" t="s">
        <v>0</v>
      </c>
      <c r="B101" t="s">
        <v>9</v>
      </c>
      <c r="C101" t="s">
        <v>2</v>
      </c>
      <c r="D101">
        <v>2005</v>
      </c>
      <c r="E101" t="s">
        <v>3</v>
      </c>
      <c r="F101" s="2">
        <v>13.13</v>
      </c>
      <c r="G101" t="s">
        <v>0</v>
      </c>
      <c r="H101" t="s">
        <v>9</v>
      </c>
      <c r="I101" t="s">
        <v>2</v>
      </c>
      <c r="J101">
        <v>2005</v>
      </c>
      <c r="K101" t="s">
        <v>3</v>
      </c>
      <c r="L101" s="2">
        <v>13.13</v>
      </c>
      <c r="M101" t="s">
        <v>0</v>
      </c>
      <c r="N101" t="s">
        <v>9</v>
      </c>
      <c r="O101" t="s">
        <v>2</v>
      </c>
      <c r="P101">
        <v>2005</v>
      </c>
      <c r="Q101" t="s">
        <v>3</v>
      </c>
      <c r="R101" s="2">
        <v>13.13</v>
      </c>
      <c r="S101" t="s">
        <v>36</v>
      </c>
    </row>
    <row r="102" spans="1:19" x14ac:dyDescent="0.45">
      <c r="A102" t="s">
        <v>0</v>
      </c>
      <c r="B102" t="s">
        <v>9</v>
      </c>
      <c r="C102" t="s">
        <v>2</v>
      </c>
      <c r="D102">
        <v>2010</v>
      </c>
      <c r="E102" t="s">
        <v>3</v>
      </c>
      <c r="F102" s="2">
        <v>16.32</v>
      </c>
      <c r="G102" t="s">
        <v>0</v>
      </c>
      <c r="H102" t="s">
        <v>9</v>
      </c>
      <c r="I102" t="s">
        <v>2</v>
      </c>
      <c r="J102">
        <v>2010</v>
      </c>
      <c r="K102" t="s">
        <v>3</v>
      </c>
      <c r="L102" s="2">
        <v>16.32</v>
      </c>
      <c r="M102" t="s">
        <v>0</v>
      </c>
      <c r="N102" t="s">
        <v>9</v>
      </c>
      <c r="O102" t="s">
        <v>2</v>
      </c>
      <c r="P102">
        <v>2010</v>
      </c>
      <c r="Q102" t="s">
        <v>3</v>
      </c>
      <c r="R102" s="2">
        <v>16.32</v>
      </c>
      <c r="S102" t="s">
        <v>36</v>
      </c>
    </row>
    <row r="103" spans="1:19" x14ac:dyDescent="0.45">
      <c r="A103" t="s">
        <v>0</v>
      </c>
      <c r="B103" t="s">
        <v>9</v>
      </c>
      <c r="C103" t="s">
        <v>2</v>
      </c>
      <c r="D103">
        <v>2015</v>
      </c>
      <c r="E103" t="s">
        <v>3</v>
      </c>
      <c r="F103" s="2">
        <v>20.0764</v>
      </c>
      <c r="G103" t="s">
        <v>0</v>
      </c>
      <c r="H103" t="s">
        <v>9</v>
      </c>
      <c r="I103" t="s">
        <v>2</v>
      </c>
      <c r="J103">
        <v>2015</v>
      </c>
      <c r="K103" t="s">
        <v>3</v>
      </c>
      <c r="L103" s="2">
        <v>20.84</v>
      </c>
      <c r="M103" t="s">
        <v>0</v>
      </c>
      <c r="N103" t="s">
        <v>9</v>
      </c>
      <c r="O103" t="s">
        <v>2</v>
      </c>
      <c r="P103">
        <v>2015</v>
      </c>
      <c r="Q103" t="s">
        <v>3</v>
      </c>
      <c r="R103" s="2">
        <v>20.84</v>
      </c>
      <c r="S103" t="s">
        <v>36</v>
      </c>
    </row>
    <row r="104" spans="1:19" x14ac:dyDescent="0.45">
      <c r="A104" t="s">
        <v>0</v>
      </c>
      <c r="B104" t="s">
        <v>9</v>
      </c>
      <c r="C104" t="s">
        <v>2</v>
      </c>
      <c r="D104">
        <v>2020</v>
      </c>
      <c r="E104" t="s">
        <v>3</v>
      </c>
      <c r="F104" s="2">
        <v>24.443300000000001</v>
      </c>
      <c r="G104" t="s">
        <v>0</v>
      </c>
      <c r="H104" t="s">
        <v>9</v>
      </c>
      <c r="I104" t="s">
        <v>2</v>
      </c>
      <c r="J104">
        <v>2020</v>
      </c>
      <c r="K104" t="s">
        <v>3</v>
      </c>
      <c r="L104" s="2">
        <v>24.31</v>
      </c>
      <c r="M104" t="s">
        <v>0</v>
      </c>
      <c r="N104" t="s">
        <v>9</v>
      </c>
      <c r="O104" t="s">
        <v>2</v>
      </c>
      <c r="P104">
        <v>2020</v>
      </c>
      <c r="Q104" t="s">
        <v>3</v>
      </c>
      <c r="R104" s="2">
        <v>24.314</v>
      </c>
      <c r="S104" t="s">
        <v>36</v>
      </c>
    </row>
    <row r="105" spans="1:19" x14ac:dyDescent="0.45">
      <c r="A105" t="s">
        <v>0</v>
      </c>
      <c r="B105" t="s">
        <v>9</v>
      </c>
      <c r="C105" t="s">
        <v>2</v>
      </c>
      <c r="D105">
        <v>2025</v>
      </c>
      <c r="E105" t="s">
        <v>3</v>
      </c>
      <c r="F105" s="2">
        <v>31.3401</v>
      </c>
      <c r="G105" t="s">
        <v>0</v>
      </c>
      <c r="H105" t="s">
        <v>9</v>
      </c>
      <c r="I105" t="s">
        <v>2</v>
      </c>
      <c r="J105">
        <v>2025</v>
      </c>
      <c r="K105" t="s">
        <v>3</v>
      </c>
      <c r="L105" s="8">
        <v>28.891400000000001</v>
      </c>
      <c r="M105" t="s">
        <v>0</v>
      </c>
      <c r="N105" t="s">
        <v>9</v>
      </c>
      <c r="O105" t="s">
        <v>2</v>
      </c>
      <c r="P105">
        <v>2025</v>
      </c>
      <c r="Q105" t="s">
        <v>3</v>
      </c>
      <c r="R105" s="16">
        <v>31.17435413245758</v>
      </c>
      <c r="S105" t="s">
        <v>36</v>
      </c>
    </row>
    <row r="106" spans="1:19" x14ac:dyDescent="0.45">
      <c r="A106" t="s">
        <v>0</v>
      </c>
      <c r="B106" t="s">
        <v>9</v>
      </c>
      <c r="C106" t="s">
        <v>2</v>
      </c>
      <c r="D106">
        <v>2030</v>
      </c>
      <c r="E106" t="s">
        <v>3</v>
      </c>
      <c r="F106" s="2">
        <v>38.236899999999999</v>
      </c>
      <c r="G106" t="s">
        <v>0</v>
      </c>
      <c r="H106" t="s">
        <v>9</v>
      </c>
      <c r="I106" t="s">
        <v>2</v>
      </c>
      <c r="J106">
        <v>2030</v>
      </c>
      <c r="K106" t="s">
        <v>3</v>
      </c>
      <c r="L106" s="2">
        <v>32.5105</v>
      </c>
      <c r="M106" t="s">
        <v>0</v>
      </c>
      <c r="N106" t="s">
        <v>9</v>
      </c>
      <c r="O106" t="s">
        <v>2</v>
      </c>
      <c r="P106">
        <v>2030</v>
      </c>
      <c r="Q106" t="s">
        <v>3</v>
      </c>
      <c r="R106" s="16">
        <v>38.034708264915167</v>
      </c>
      <c r="S106" t="s">
        <v>36</v>
      </c>
    </row>
    <row r="107" spans="1:19" x14ac:dyDescent="0.45">
      <c r="A107" t="s">
        <v>0</v>
      </c>
      <c r="B107" t="s">
        <v>9</v>
      </c>
      <c r="C107" t="s">
        <v>2</v>
      </c>
      <c r="D107">
        <v>2035</v>
      </c>
      <c r="E107" t="s">
        <v>3</v>
      </c>
      <c r="F107" s="2">
        <v>47.009500000000003</v>
      </c>
      <c r="G107" t="s">
        <v>0</v>
      </c>
      <c r="H107" t="s">
        <v>9</v>
      </c>
      <c r="I107" t="s">
        <v>2</v>
      </c>
      <c r="J107">
        <v>2035</v>
      </c>
      <c r="K107" t="s">
        <v>3</v>
      </c>
      <c r="L107" s="2">
        <v>37.855699999999999</v>
      </c>
      <c r="M107" t="s">
        <v>0</v>
      </c>
      <c r="N107" t="s">
        <v>9</v>
      </c>
      <c r="O107" t="s">
        <v>2</v>
      </c>
      <c r="P107">
        <v>2035</v>
      </c>
      <c r="Q107" t="s">
        <v>3</v>
      </c>
      <c r="R107" s="16">
        <v>46.760865790914067</v>
      </c>
      <c r="S107" t="s">
        <v>36</v>
      </c>
    </row>
    <row r="108" spans="1:19" x14ac:dyDescent="0.45">
      <c r="A108" t="s">
        <v>0</v>
      </c>
      <c r="B108" t="s">
        <v>9</v>
      </c>
      <c r="C108" t="s">
        <v>2</v>
      </c>
      <c r="D108">
        <v>2040</v>
      </c>
      <c r="E108" t="s">
        <v>3</v>
      </c>
      <c r="F108" s="2">
        <v>55.780700000000003</v>
      </c>
      <c r="G108" t="s">
        <v>0</v>
      </c>
      <c r="H108" t="s">
        <v>9</v>
      </c>
      <c r="I108" t="s">
        <v>2</v>
      </c>
      <c r="J108">
        <v>2040</v>
      </c>
      <c r="K108" t="s">
        <v>3</v>
      </c>
      <c r="L108" s="2">
        <v>44.436700000000002</v>
      </c>
      <c r="M108" t="s">
        <v>0</v>
      </c>
      <c r="N108" t="s">
        <v>9</v>
      </c>
      <c r="O108" t="s">
        <v>2</v>
      </c>
      <c r="P108">
        <v>2040</v>
      </c>
      <c r="Q108" t="s">
        <v>3</v>
      </c>
      <c r="R108" s="16">
        <v>55.485692501368369</v>
      </c>
      <c r="S108" t="s">
        <v>36</v>
      </c>
    </row>
    <row r="109" spans="1:19" x14ac:dyDescent="0.45">
      <c r="A109" t="s">
        <v>0</v>
      </c>
      <c r="B109" t="s">
        <v>9</v>
      </c>
      <c r="C109" t="s">
        <v>2</v>
      </c>
      <c r="D109">
        <v>2045</v>
      </c>
      <c r="E109" t="s">
        <v>3</v>
      </c>
      <c r="F109" s="2">
        <v>67.718699999999998</v>
      </c>
      <c r="G109" t="s">
        <v>0</v>
      </c>
      <c r="H109" t="s">
        <v>9</v>
      </c>
      <c r="I109" t="s">
        <v>2</v>
      </c>
      <c r="J109">
        <v>2045</v>
      </c>
      <c r="K109" t="s">
        <v>3</v>
      </c>
      <c r="L109" s="2">
        <v>54.152200000000001</v>
      </c>
      <c r="M109" t="s">
        <v>0</v>
      </c>
      <c r="N109" t="s">
        <v>9</v>
      </c>
      <c r="O109" t="s">
        <v>2</v>
      </c>
      <c r="P109">
        <v>2045</v>
      </c>
      <c r="Q109" t="s">
        <v>3</v>
      </c>
      <c r="R109" s="16">
        <v>67.360559605911334</v>
      </c>
      <c r="S109" t="s">
        <v>36</v>
      </c>
    </row>
    <row r="110" spans="1:19" x14ac:dyDescent="0.45">
      <c r="A110" t="s">
        <v>0</v>
      </c>
      <c r="B110" t="s">
        <v>9</v>
      </c>
      <c r="C110" t="s">
        <v>2</v>
      </c>
      <c r="D110">
        <v>2050</v>
      </c>
      <c r="E110" t="s">
        <v>3</v>
      </c>
      <c r="F110" s="2">
        <v>79.655299999999997</v>
      </c>
      <c r="G110" t="s">
        <v>0</v>
      </c>
      <c r="H110" t="s">
        <v>9</v>
      </c>
      <c r="I110" t="s">
        <v>2</v>
      </c>
      <c r="J110">
        <v>2050</v>
      </c>
      <c r="K110" t="s">
        <v>3</v>
      </c>
      <c r="L110" s="2">
        <v>64.366100000000003</v>
      </c>
      <c r="M110" t="s">
        <v>0</v>
      </c>
      <c r="N110" t="s">
        <v>9</v>
      </c>
      <c r="O110" t="s">
        <v>2</v>
      </c>
      <c r="P110">
        <v>2050</v>
      </c>
      <c r="Q110" t="s">
        <v>3</v>
      </c>
      <c r="R110" s="16">
        <v>79.234095894909714</v>
      </c>
      <c r="S110" t="s">
        <v>36</v>
      </c>
    </row>
    <row r="111" spans="1:19" x14ac:dyDescent="0.45">
      <c r="A111" t="s">
        <v>0</v>
      </c>
      <c r="B111" t="s">
        <v>9</v>
      </c>
      <c r="C111" t="s">
        <v>2</v>
      </c>
      <c r="D111">
        <v>2055</v>
      </c>
      <c r="E111" t="s">
        <v>3</v>
      </c>
      <c r="F111" s="2">
        <v>94.800299999999993</v>
      </c>
      <c r="G111" t="s">
        <v>0</v>
      </c>
      <c r="H111" t="s">
        <v>9</v>
      </c>
      <c r="I111" t="s">
        <v>2</v>
      </c>
      <c r="J111">
        <v>2055</v>
      </c>
      <c r="K111" t="s">
        <v>3</v>
      </c>
      <c r="L111" s="2">
        <v>78.415400000000005</v>
      </c>
      <c r="M111" t="s">
        <v>0</v>
      </c>
      <c r="N111" t="s">
        <v>9</v>
      </c>
      <c r="O111" t="s">
        <v>2</v>
      </c>
      <c r="P111">
        <v>2055</v>
      </c>
      <c r="Q111" t="s">
        <v>3</v>
      </c>
      <c r="R111" s="16">
        <v>94.298927859879612</v>
      </c>
      <c r="S111" t="s">
        <v>36</v>
      </c>
    </row>
    <row r="112" spans="1:19" x14ac:dyDescent="0.45">
      <c r="A112" t="s">
        <v>0</v>
      </c>
      <c r="B112" t="s">
        <v>9</v>
      </c>
      <c r="C112" t="s">
        <v>2</v>
      </c>
      <c r="D112">
        <v>2060</v>
      </c>
      <c r="E112" t="s">
        <v>3</v>
      </c>
      <c r="F112" s="2">
        <v>109.94499999999999</v>
      </c>
      <c r="G112" t="s">
        <v>0</v>
      </c>
      <c r="H112" t="s">
        <v>9</v>
      </c>
      <c r="I112" t="s">
        <v>2</v>
      </c>
      <c r="J112">
        <v>2060</v>
      </c>
      <c r="K112" t="s">
        <v>3</v>
      </c>
      <c r="L112" s="2">
        <v>93.945599999999999</v>
      </c>
      <c r="M112" t="s">
        <v>0</v>
      </c>
      <c r="N112" t="s">
        <v>9</v>
      </c>
      <c r="O112" t="s">
        <v>2</v>
      </c>
      <c r="P112">
        <v>2060</v>
      </c>
      <c r="Q112" t="s">
        <v>3</v>
      </c>
      <c r="R112" s="16">
        <v>109.3637598248495</v>
      </c>
      <c r="S112" t="s">
        <v>36</v>
      </c>
    </row>
    <row r="113" spans="1:19" s="3" customFormat="1" x14ac:dyDescent="0.45">
      <c r="A113" s="3" t="s">
        <v>0</v>
      </c>
      <c r="B113" s="3" t="s">
        <v>9</v>
      </c>
      <c r="C113" s="3" t="s">
        <v>2</v>
      </c>
      <c r="D113" s="3">
        <v>2070</v>
      </c>
      <c r="E113" s="3" t="s">
        <v>3</v>
      </c>
      <c r="F113" s="3">
        <v>129.93199999999999</v>
      </c>
      <c r="G113" s="3" t="s">
        <v>0</v>
      </c>
      <c r="H113" s="3" t="s">
        <v>9</v>
      </c>
      <c r="I113" s="3" t="s">
        <v>2</v>
      </c>
      <c r="J113" s="3">
        <v>2070</v>
      </c>
      <c r="K113" s="3" t="s">
        <v>3</v>
      </c>
      <c r="L113" s="3">
        <v>129.93199999999999</v>
      </c>
      <c r="M113" t="s">
        <v>0</v>
      </c>
      <c r="N113" t="s">
        <v>9</v>
      </c>
      <c r="O113" t="s">
        <v>2</v>
      </c>
      <c r="P113">
        <v>2070</v>
      </c>
      <c r="Q113" t="s">
        <v>3</v>
      </c>
      <c r="R113" s="16">
        <v>144.2284654625069</v>
      </c>
      <c r="S113" t="s">
        <v>36</v>
      </c>
    </row>
  </sheetData>
  <mergeCells count="3">
    <mergeCell ref="A1:F1"/>
    <mergeCell ref="G1:L1"/>
    <mergeCell ref="M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41F1-FD7C-400D-822C-A7880EDF060D}">
  <dimension ref="A1:C149"/>
  <sheetViews>
    <sheetView topLeftCell="A67" workbookViewId="0">
      <selection activeCell="B94" sqref="B94"/>
    </sheetView>
  </sheetViews>
  <sheetFormatPr defaultRowHeight="14.25" x14ac:dyDescent="0.45"/>
  <cols>
    <col min="1" max="1" width="11.9296875" bestFit="1" customWidth="1"/>
    <col min="2" max="2" width="10.9296875" bestFit="1" customWidth="1"/>
  </cols>
  <sheetData>
    <row r="1" spans="1:3" x14ac:dyDescent="0.45">
      <c r="A1" s="7" t="s">
        <v>34</v>
      </c>
      <c r="B1" t="s">
        <v>33</v>
      </c>
      <c r="C1" s="1" t="s">
        <v>35</v>
      </c>
    </row>
    <row r="2" spans="1:3" x14ac:dyDescent="0.45">
      <c r="A2" s="4" t="s">
        <v>1</v>
      </c>
      <c r="B2">
        <v>437.44119999999998</v>
      </c>
    </row>
    <row r="3" spans="1:3" x14ac:dyDescent="0.45">
      <c r="A3" s="5" t="s">
        <v>32</v>
      </c>
      <c r="B3">
        <v>2.9</v>
      </c>
    </row>
    <row r="4" spans="1:3" x14ac:dyDescent="0.45">
      <c r="A4" s="5" t="s">
        <v>31</v>
      </c>
      <c r="B4">
        <v>2.63</v>
      </c>
      <c r="C4">
        <f t="shared" ref="C4:C22" si="0">(B4-B3)/B3</f>
        <v>-9.3103448275862075E-2</v>
      </c>
    </row>
    <row r="5" spans="1:3" x14ac:dyDescent="0.45">
      <c r="A5" s="5" t="s">
        <v>30</v>
      </c>
      <c r="B5">
        <v>3.75</v>
      </c>
      <c r="C5">
        <f t="shared" si="0"/>
        <v>0.42585551330798482</v>
      </c>
    </row>
    <row r="6" spans="1:3" x14ac:dyDescent="0.45">
      <c r="A6" s="5" t="s">
        <v>29</v>
      </c>
      <c r="B6">
        <v>4.62</v>
      </c>
      <c r="C6">
        <f t="shared" si="0"/>
        <v>0.23200000000000004</v>
      </c>
    </row>
    <row r="7" spans="1:3" x14ac:dyDescent="0.45">
      <c r="A7" s="5" t="s">
        <v>28</v>
      </c>
      <c r="B7">
        <v>4.6500000000000004</v>
      </c>
      <c r="C7">
        <f t="shared" si="0"/>
        <v>6.4935064935065468E-3</v>
      </c>
    </row>
    <row r="8" spans="1:3" x14ac:dyDescent="0.45">
      <c r="A8" s="5" t="s">
        <v>27</v>
      </c>
      <c r="B8">
        <v>5.22</v>
      </c>
      <c r="C8">
        <f t="shared" si="0"/>
        <v>0.12258064516129018</v>
      </c>
    </row>
    <row r="9" spans="1:3" x14ac:dyDescent="0.45">
      <c r="A9" s="5" t="s">
        <v>26</v>
      </c>
      <c r="B9">
        <v>6.02</v>
      </c>
      <c r="C9">
        <f t="shared" si="0"/>
        <v>0.15325670498084287</v>
      </c>
    </row>
    <row r="10" spans="1:3" x14ac:dyDescent="0.45">
      <c r="A10" s="6" t="s">
        <v>25</v>
      </c>
      <c r="B10">
        <v>6.3048000000000002</v>
      </c>
      <c r="C10">
        <f t="shared" si="0"/>
        <v>4.7308970099667877E-2</v>
      </c>
    </row>
    <row r="11" spans="1:3" x14ac:dyDescent="0.45">
      <c r="A11" s="6" t="s">
        <v>24</v>
      </c>
      <c r="B11">
        <v>7.7847999999999997</v>
      </c>
      <c r="C11">
        <f t="shared" si="0"/>
        <v>0.2347417840375586</v>
      </c>
    </row>
    <row r="12" spans="1:3" x14ac:dyDescent="0.45">
      <c r="A12" s="6" t="s">
        <v>23</v>
      </c>
      <c r="B12">
        <v>10.0428</v>
      </c>
      <c r="C12">
        <f t="shared" si="0"/>
        <v>0.29005240982427294</v>
      </c>
    </row>
    <row r="13" spans="1:3" x14ac:dyDescent="0.45">
      <c r="A13" s="5" t="s">
        <v>22</v>
      </c>
      <c r="B13">
        <v>13.4095</v>
      </c>
      <c r="C13">
        <f t="shared" si="0"/>
        <v>0.33523519337236624</v>
      </c>
    </row>
    <row r="14" spans="1:3" x14ac:dyDescent="0.45">
      <c r="A14" s="5" t="s">
        <v>21</v>
      </c>
      <c r="B14">
        <v>16.307400000000001</v>
      </c>
      <c r="C14">
        <f t="shared" si="0"/>
        <v>0.21610798314627702</v>
      </c>
    </row>
    <row r="15" spans="1:3" x14ac:dyDescent="0.45">
      <c r="A15" s="5" t="s">
        <v>20</v>
      </c>
      <c r="B15">
        <v>19.4358</v>
      </c>
      <c r="C15">
        <f t="shared" si="0"/>
        <v>0.19183928768534525</v>
      </c>
    </row>
    <row r="16" spans="1:3" x14ac:dyDescent="0.45">
      <c r="A16" s="5" t="s">
        <v>19</v>
      </c>
      <c r="B16">
        <v>22.9528</v>
      </c>
      <c r="C16">
        <f t="shared" si="0"/>
        <v>0.18095473301845047</v>
      </c>
    </row>
    <row r="17" spans="1:3" x14ac:dyDescent="0.45">
      <c r="A17" s="5" t="s">
        <v>18</v>
      </c>
      <c r="B17">
        <v>26.8705</v>
      </c>
      <c r="C17">
        <f t="shared" si="0"/>
        <v>0.17068505803213552</v>
      </c>
    </row>
    <row r="18" spans="1:3" x14ac:dyDescent="0.45">
      <c r="A18" s="5" t="s">
        <v>17</v>
      </c>
      <c r="B18">
        <v>36.256500000000003</v>
      </c>
      <c r="C18">
        <f t="shared" si="0"/>
        <v>0.34930499990696129</v>
      </c>
    </row>
    <row r="19" spans="1:3" x14ac:dyDescent="0.45">
      <c r="A19" s="5" t="s">
        <v>16</v>
      </c>
      <c r="B19">
        <v>47.551900000000003</v>
      </c>
      <c r="C19">
        <f t="shared" si="0"/>
        <v>0.31154137878725197</v>
      </c>
    </row>
    <row r="20" spans="1:3" x14ac:dyDescent="0.45">
      <c r="A20" s="5" t="s">
        <v>15</v>
      </c>
      <c r="B20">
        <v>57.490600000000001</v>
      </c>
      <c r="C20">
        <f t="shared" si="0"/>
        <v>0.20900742136486652</v>
      </c>
    </row>
    <row r="21" spans="1:3" x14ac:dyDescent="0.45">
      <c r="A21" s="5" t="s">
        <v>14</v>
      </c>
      <c r="B21">
        <v>67.469300000000004</v>
      </c>
      <c r="C21">
        <f t="shared" si="0"/>
        <v>0.17357098377821772</v>
      </c>
    </row>
    <row r="22" spans="1:3" x14ac:dyDescent="0.45">
      <c r="A22" s="5" t="s">
        <v>13</v>
      </c>
      <c r="B22">
        <v>75.774500000000003</v>
      </c>
      <c r="C22">
        <f t="shared" si="0"/>
        <v>0.12309598587802154</v>
      </c>
    </row>
    <row r="23" spans="1:3" x14ac:dyDescent="0.45">
      <c r="A23" s="4" t="s">
        <v>4</v>
      </c>
      <c r="B23">
        <v>546.62450000000001</v>
      </c>
    </row>
    <row r="24" spans="1:3" x14ac:dyDescent="0.45">
      <c r="A24" s="5" t="s">
        <v>32</v>
      </c>
      <c r="B24">
        <v>0.92</v>
      </c>
    </row>
    <row r="25" spans="1:3" x14ac:dyDescent="0.45">
      <c r="A25" s="5" t="s">
        <v>31</v>
      </c>
      <c r="B25">
        <v>1.1299999999999999</v>
      </c>
      <c r="C25">
        <f t="shared" ref="C25:C43" si="1">(B25-B24)/B24</f>
        <v>0.22826086956521721</v>
      </c>
    </row>
    <row r="26" spans="1:3" x14ac:dyDescent="0.45">
      <c r="A26" s="5" t="s">
        <v>30</v>
      </c>
      <c r="B26">
        <v>1.31</v>
      </c>
      <c r="C26">
        <f t="shared" si="1"/>
        <v>0.15929203539823025</v>
      </c>
    </row>
    <row r="27" spans="1:3" x14ac:dyDescent="0.45">
      <c r="A27" s="5" t="s">
        <v>29</v>
      </c>
      <c r="B27">
        <v>2.06</v>
      </c>
      <c r="C27">
        <f t="shared" si="1"/>
        <v>0.5725190839694656</v>
      </c>
    </row>
    <row r="28" spans="1:3" x14ac:dyDescent="0.45">
      <c r="A28" s="5" t="s">
        <v>28</v>
      </c>
      <c r="B28">
        <v>2.0699999999999998</v>
      </c>
      <c r="C28">
        <f t="shared" si="1"/>
        <v>4.8543689320387313E-3</v>
      </c>
    </row>
    <row r="29" spans="1:3" x14ac:dyDescent="0.45">
      <c r="A29" s="5" t="s">
        <v>27</v>
      </c>
      <c r="B29">
        <v>2.56</v>
      </c>
      <c r="C29">
        <f t="shared" si="1"/>
        <v>0.23671497584541074</v>
      </c>
    </row>
    <row r="30" spans="1:3" x14ac:dyDescent="0.45">
      <c r="A30" s="5" t="s">
        <v>26</v>
      </c>
      <c r="B30">
        <v>2.86</v>
      </c>
      <c r="C30">
        <f t="shared" si="1"/>
        <v>0.11718749999999993</v>
      </c>
    </row>
    <row r="31" spans="1:3" x14ac:dyDescent="0.45">
      <c r="A31" s="6" t="s">
        <v>25</v>
      </c>
      <c r="B31">
        <v>4.9093</v>
      </c>
      <c r="C31" s="3">
        <f t="shared" si="1"/>
        <v>0.71653846153846157</v>
      </c>
    </row>
    <row r="32" spans="1:3" x14ac:dyDescent="0.45">
      <c r="A32" s="6" t="s">
        <v>24</v>
      </c>
      <c r="B32">
        <v>6.1719999999999997</v>
      </c>
      <c r="C32">
        <f t="shared" si="1"/>
        <v>0.25720571160857958</v>
      </c>
    </row>
    <row r="33" spans="1:3" x14ac:dyDescent="0.45">
      <c r="A33" s="6" t="s">
        <v>23</v>
      </c>
      <c r="B33">
        <v>8.8995999999999995</v>
      </c>
      <c r="C33">
        <f t="shared" si="1"/>
        <v>0.44193130265716135</v>
      </c>
    </row>
    <row r="34" spans="1:3" x14ac:dyDescent="0.45">
      <c r="A34" s="5" t="s">
        <v>22</v>
      </c>
      <c r="B34">
        <v>13.472</v>
      </c>
      <c r="C34">
        <f t="shared" si="1"/>
        <v>0.51377590004045126</v>
      </c>
    </row>
    <row r="35" spans="1:3" x14ac:dyDescent="0.45">
      <c r="A35" s="5" t="s">
        <v>21</v>
      </c>
      <c r="B35">
        <v>18.468299999999999</v>
      </c>
      <c r="C35">
        <f t="shared" si="1"/>
        <v>0.37086549881235154</v>
      </c>
    </row>
    <row r="36" spans="1:3" x14ac:dyDescent="0.45">
      <c r="A36" s="5" t="s">
        <v>20</v>
      </c>
      <c r="B36">
        <v>24.9209</v>
      </c>
      <c r="C36">
        <f t="shared" si="1"/>
        <v>0.34938787002593635</v>
      </c>
    </row>
    <row r="37" spans="1:3" x14ac:dyDescent="0.45">
      <c r="A37" s="5" t="s">
        <v>19</v>
      </c>
      <c r="B37">
        <v>32.219900000000003</v>
      </c>
      <c r="C37">
        <f t="shared" si="1"/>
        <v>0.29288669349822855</v>
      </c>
    </row>
    <row r="38" spans="1:3" x14ac:dyDescent="0.45">
      <c r="A38" s="5" t="s">
        <v>18</v>
      </c>
      <c r="B38">
        <v>40.803699999999999</v>
      </c>
      <c r="C38">
        <f t="shared" si="1"/>
        <v>0.2664129932122693</v>
      </c>
    </row>
    <row r="39" spans="1:3" x14ac:dyDescent="0.45">
      <c r="A39" s="5" t="s">
        <v>17</v>
      </c>
      <c r="B39">
        <v>53.7973</v>
      </c>
      <c r="C39">
        <f t="shared" si="1"/>
        <v>0.31844170994297089</v>
      </c>
    </row>
    <row r="40" spans="1:3" x14ac:dyDescent="0.45">
      <c r="A40" s="5" t="s">
        <v>16</v>
      </c>
      <c r="B40">
        <v>67.916399999999996</v>
      </c>
      <c r="C40">
        <f t="shared" si="1"/>
        <v>0.26244997425521349</v>
      </c>
    </row>
    <row r="41" spans="1:3" x14ac:dyDescent="0.45">
      <c r="A41" s="5" t="s">
        <v>15</v>
      </c>
      <c r="B41">
        <v>76.400599999999997</v>
      </c>
      <c r="C41">
        <f t="shared" si="1"/>
        <v>0.12492122668457106</v>
      </c>
    </row>
    <row r="42" spans="1:3" x14ac:dyDescent="0.45">
      <c r="A42" s="5" t="s">
        <v>14</v>
      </c>
      <c r="B42">
        <v>87.500699999999995</v>
      </c>
      <c r="C42">
        <f t="shared" si="1"/>
        <v>0.14528812600948157</v>
      </c>
    </row>
    <row r="43" spans="1:3" x14ac:dyDescent="0.45">
      <c r="A43" s="5" t="s">
        <v>13</v>
      </c>
      <c r="B43">
        <v>98.233800000000002</v>
      </c>
      <c r="C43">
        <f t="shared" si="1"/>
        <v>0.12266301869585053</v>
      </c>
    </row>
    <row r="44" spans="1:3" x14ac:dyDescent="0.45">
      <c r="A44" s="4" t="s">
        <v>5</v>
      </c>
      <c r="B44">
        <v>974.40940000000001</v>
      </c>
    </row>
    <row r="45" spans="1:3" x14ac:dyDescent="0.45">
      <c r="A45" s="5" t="s">
        <v>32</v>
      </c>
      <c r="B45">
        <v>5.31</v>
      </c>
    </row>
    <row r="46" spans="1:3" x14ac:dyDescent="0.45">
      <c r="A46" s="5" t="s">
        <v>31</v>
      </c>
      <c r="B46">
        <v>6.88</v>
      </c>
      <c r="C46">
        <f t="shared" ref="C46:C64" si="2">(B46-B45)/B45</f>
        <v>0.29566854990583813</v>
      </c>
    </row>
    <row r="47" spans="1:3" x14ac:dyDescent="0.45">
      <c r="A47" s="5" t="s">
        <v>30</v>
      </c>
      <c r="B47">
        <v>7.29</v>
      </c>
      <c r="C47">
        <f t="shared" si="2"/>
        <v>5.9593023255813976E-2</v>
      </c>
    </row>
    <row r="48" spans="1:3" x14ac:dyDescent="0.45">
      <c r="A48" s="5" t="s">
        <v>29</v>
      </c>
      <c r="B48">
        <v>11.32</v>
      </c>
      <c r="C48">
        <f t="shared" si="2"/>
        <v>0.55281207133058985</v>
      </c>
    </row>
    <row r="49" spans="1:3" x14ac:dyDescent="0.45">
      <c r="A49" s="5" t="s">
        <v>28</v>
      </c>
      <c r="B49">
        <v>12.18</v>
      </c>
      <c r="C49">
        <f t="shared" si="2"/>
        <v>7.5971731448763194E-2</v>
      </c>
    </row>
    <row r="50" spans="1:3" x14ac:dyDescent="0.45">
      <c r="A50" s="5" t="s">
        <v>27</v>
      </c>
      <c r="B50">
        <v>12.71</v>
      </c>
      <c r="C50">
        <f t="shared" si="2"/>
        <v>4.3513957307060848E-2</v>
      </c>
    </row>
    <row r="51" spans="1:3" x14ac:dyDescent="0.45">
      <c r="A51" s="5" t="s">
        <v>26</v>
      </c>
      <c r="B51">
        <v>15.95</v>
      </c>
      <c r="C51">
        <f t="shared" si="2"/>
        <v>0.25491738788355611</v>
      </c>
    </row>
    <row r="52" spans="1:3" x14ac:dyDescent="0.45">
      <c r="A52" s="6" t="s">
        <v>25</v>
      </c>
      <c r="B52">
        <v>15.631500000000001</v>
      </c>
      <c r="C52">
        <f t="shared" si="2"/>
        <v>-1.9968652037617458E-2</v>
      </c>
    </row>
    <row r="53" spans="1:3" x14ac:dyDescent="0.45">
      <c r="A53" s="6" t="s">
        <v>24</v>
      </c>
      <c r="B53">
        <v>19.300799999999999</v>
      </c>
      <c r="C53">
        <f t="shared" si="2"/>
        <v>0.23473754917954118</v>
      </c>
    </row>
    <row r="54" spans="1:3" x14ac:dyDescent="0.45">
      <c r="A54" s="6" t="s">
        <v>23</v>
      </c>
      <c r="B54">
        <v>24.869</v>
      </c>
      <c r="C54">
        <f t="shared" si="2"/>
        <v>0.2884958136450303</v>
      </c>
    </row>
    <row r="55" spans="1:3" x14ac:dyDescent="0.45">
      <c r="A55" s="5" t="s">
        <v>22</v>
      </c>
      <c r="B55">
        <v>33.052599999999998</v>
      </c>
      <c r="C55">
        <f t="shared" si="2"/>
        <v>0.32906831798624786</v>
      </c>
    </row>
    <row r="56" spans="1:3" x14ac:dyDescent="0.45">
      <c r="A56" s="5" t="s">
        <v>21</v>
      </c>
      <c r="B56">
        <v>38.9328</v>
      </c>
      <c r="C56">
        <f t="shared" si="2"/>
        <v>0.1779043100996594</v>
      </c>
    </row>
    <row r="57" spans="1:3" x14ac:dyDescent="0.45">
      <c r="A57" s="5" t="s">
        <v>20</v>
      </c>
      <c r="B57">
        <v>45.288800000000002</v>
      </c>
      <c r="C57">
        <f t="shared" si="2"/>
        <v>0.16325566103645259</v>
      </c>
    </row>
    <row r="58" spans="1:3" x14ac:dyDescent="0.45">
      <c r="A58" s="5" t="s">
        <v>19</v>
      </c>
      <c r="B58">
        <v>52.537300000000002</v>
      </c>
      <c r="C58">
        <f t="shared" si="2"/>
        <v>0.16005060853897651</v>
      </c>
    </row>
    <row r="59" spans="1:3" x14ac:dyDescent="0.45">
      <c r="A59" s="5" t="s">
        <v>18</v>
      </c>
      <c r="B59">
        <v>60.628799999999998</v>
      </c>
      <c r="C59">
        <f t="shared" si="2"/>
        <v>0.15401438596958725</v>
      </c>
    </row>
    <row r="60" spans="1:3" x14ac:dyDescent="0.45">
      <c r="A60" s="5" t="s">
        <v>17</v>
      </c>
      <c r="B60">
        <v>81.814300000000003</v>
      </c>
      <c r="C60">
        <f t="shared" si="2"/>
        <v>0.3494296439975722</v>
      </c>
    </row>
    <row r="61" spans="1:3" x14ac:dyDescent="0.45">
      <c r="A61" s="5" t="s">
        <v>16</v>
      </c>
      <c r="B61">
        <v>108.81</v>
      </c>
      <c r="C61">
        <f t="shared" si="2"/>
        <v>0.32996309936038076</v>
      </c>
    </row>
    <row r="62" spans="1:3" x14ac:dyDescent="0.45">
      <c r="A62" s="5" t="s">
        <v>15</v>
      </c>
      <c r="B62">
        <v>127.0714</v>
      </c>
      <c r="C62">
        <f t="shared" si="2"/>
        <v>0.16782832460251809</v>
      </c>
    </row>
    <row r="63" spans="1:3" x14ac:dyDescent="0.45">
      <c r="A63" s="5" t="s">
        <v>14</v>
      </c>
      <c r="B63">
        <v>142.27189999999999</v>
      </c>
      <c r="C63">
        <f t="shared" si="2"/>
        <v>0.11962172447930841</v>
      </c>
    </row>
    <row r="64" spans="1:3" x14ac:dyDescent="0.45">
      <c r="A64" s="5" t="s">
        <v>13</v>
      </c>
      <c r="B64">
        <v>152.56020000000001</v>
      </c>
      <c r="C64">
        <f t="shared" si="2"/>
        <v>7.231435019845818E-2</v>
      </c>
    </row>
    <row r="65" spans="1:3" x14ac:dyDescent="0.45">
      <c r="A65" s="4" t="s">
        <v>6</v>
      </c>
      <c r="B65">
        <v>2</v>
      </c>
    </row>
    <row r="66" spans="1:3" x14ac:dyDescent="0.45">
      <c r="A66" s="5" t="s">
        <v>32</v>
      </c>
      <c r="B66">
        <v>0.26</v>
      </c>
    </row>
    <row r="67" spans="1:3" x14ac:dyDescent="0.45">
      <c r="A67" s="5" t="s">
        <v>31</v>
      </c>
      <c r="B67">
        <v>0.27</v>
      </c>
      <c r="C67">
        <f t="shared" ref="C67:C72" si="3">(B67-B66)/B66</f>
        <v>3.8461538461538491E-2</v>
      </c>
    </row>
    <row r="68" spans="1:3" x14ac:dyDescent="0.45">
      <c r="A68" s="5" t="s">
        <v>30</v>
      </c>
      <c r="B68">
        <v>0.35</v>
      </c>
      <c r="C68">
        <f t="shared" si="3"/>
        <v>0.29629629629629611</v>
      </c>
    </row>
    <row r="69" spans="1:3" x14ac:dyDescent="0.45">
      <c r="A69" s="5" t="s">
        <v>29</v>
      </c>
      <c r="B69">
        <v>0.28000000000000003</v>
      </c>
      <c r="C69">
        <f t="shared" si="3"/>
        <v>-0.19999999999999987</v>
      </c>
    </row>
    <row r="70" spans="1:3" x14ac:dyDescent="0.45">
      <c r="A70" s="5" t="s">
        <v>28</v>
      </c>
      <c r="B70">
        <v>0.3</v>
      </c>
      <c r="C70">
        <f t="shared" si="3"/>
        <v>7.1428571428571286E-2</v>
      </c>
    </row>
    <row r="71" spans="1:3" x14ac:dyDescent="0.45">
      <c r="A71" s="5" t="s">
        <v>27</v>
      </c>
      <c r="B71">
        <v>0.28000000000000003</v>
      </c>
      <c r="C71">
        <f t="shared" si="3"/>
        <v>-6.6666666666666541E-2</v>
      </c>
    </row>
    <row r="72" spans="1:3" x14ac:dyDescent="0.45">
      <c r="A72" s="5" t="s">
        <v>26</v>
      </c>
      <c r="B72">
        <v>0.26</v>
      </c>
      <c r="C72">
        <f t="shared" si="3"/>
        <v>-7.142857142857148E-2</v>
      </c>
    </row>
    <row r="73" spans="1:3" x14ac:dyDescent="0.45">
      <c r="A73" s="6" t="s">
        <v>25</v>
      </c>
      <c r="B73">
        <v>0</v>
      </c>
    </row>
    <row r="74" spans="1:3" x14ac:dyDescent="0.45">
      <c r="A74" s="6" t="s">
        <v>24</v>
      </c>
      <c r="B74">
        <v>0</v>
      </c>
    </row>
    <row r="75" spans="1:3" x14ac:dyDescent="0.45">
      <c r="A75" s="6" t="s">
        <v>23</v>
      </c>
      <c r="B75">
        <v>0</v>
      </c>
    </row>
    <row r="76" spans="1:3" x14ac:dyDescent="0.45">
      <c r="A76" s="5" t="s">
        <v>22</v>
      </c>
      <c r="B76">
        <v>0</v>
      </c>
    </row>
    <row r="77" spans="1:3" x14ac:dyDescent="0.45">
      <c r="A77" s="5" t="s">
        <v>21</v>
      </c>
      <c r="B77">
        <v>0</v>
      </c>
    </row>
    <row r="78" spans="1:3" x14ac:dyDescent="0.45">
      <c r="A78" s="5" t="s">
        <v>20</v>
      </c>
      <c r="B78">
        <v>0</v>
      </c>
    </row>
    <row r="79" spans="1:3" x14ac:dyDescent="0.45">
      <c r="A79" s="5" t="s">
        <v>19</v>
      </c>
      <c r="B79">
        <v>0</v>
      </c>
    </row>
    <row r="80" spans="1:3" x14ac:dyDescent="0.45">
      <c r="A80" s="5" t="s">
        <v>18</v>
      </c>
      <c r="B80">
        <v>0</v>
      </c>
    </row>
    <row r="81" spans="1:3" x14ac:dyDescent="0.45">
      <c r="A81" s="5" t="s">
        <v>17</v>
      </c>
      <c r="B81">
        <v>0</v>
      </c>
    </row>
    <row r="82" spans="1:3" x14ac:dyDescent="0.45">
      <c r="A82" s="5" t="s">
        <v>16</v>
      </c>
      <c r="B82">
        <v>0</v>
      </c>
    </row>
    <row r="83" spans="1:3" x14ac:dyDescent="0.45">
      <c r="A83" s="5" t="s">
        <v>15</v>
      </c>
      <c r="B83">
        <v>0</v>
      </c>
    </row>
    <row r="84" spans="1:3" x14ac:dyDescent="0.45">
      <c r="A84" s="5" t="s">
        <v>14</v>
      </c>
      <c r="B84">
        <v>0</v>
      </c>
    </row>
    <row r="85" spans="1:3" x14ac:dyDescent="0.45">
      <c r="A85" s="5" t="s">
        <v>13</v>
      </c>
      <c r="B85">
        <v>0</v>
      </c>
    </row>
    <row r="86" spans="1:3" x14ac:dyDescent="0.45">
      <c r="A86" s="4" t="s">
        <v>7</v>
      </c>
      <c r="B86">
        <v>639.27649999999994</v>
      </c>
    </row>
    <row r="87" spans="1:3" x14ac:dyDescent="0.45">
      <c r="A87" s="5" t="s">
        <v>32</v>
      </c>
      <c r="B87">
        <v>0.6</v>
      </c>
    </row>
    <row r="88" spans="1:3" x14ac:dyDescent="0.45">
      <c r="A88" s="5" t="s">
        <v>31</v>
      </c>
      <c r="B88">
        <v>0.97</v>
      </c>
      <c r="C88">
        <f t="shared" ref="C88:C106" si="4">(B88-B87)/B87</f>
        <v>0.6166666666666667</v>
      </c>
    </row>
    <row r="89" spans="1:3" x14ac:dyDescent="0.45">
      <c r="A89" s="5" t="s">
        <v>30</v>
      </c>
      <c r="B89">
        <v>1.1100000000000001</v>
      </c>
      <c r="C89">
        <f t="shared" si="4"/>
        <v>0.14432989690721662</v>
      </c>
    </row>
    <row r="90" spans="1:3" x14ac:dyDescent="0.45">
      <c r="A90" s="5" t="s">
        <v>29</v>
      </c>
      <c r="B90">
        <v>1.71</v>
      </c>
      <c r="C90">
        <f t="shared" si="4"/>
        <v>0.54054054054054035</v>
      </c>
    </row>
    <row r="91" spans="1:3" x14ac:dyDescent="0.45">
      <c r="A91" s="5" t="s">
        <v>28</v>
      </c>
      <c r="B91">
        <v>2.1800000000000002</v>
      </c>
      <c r="C91">
        <f t="shared" si="4"/>
        <v>0.27485380116959074</v>
      </c>
    </row>
    <row r="92" spans="1:3" x14ac:dyDescent="0.45">
      <c r="A92" s="5" t="s">
        <v>27</v>
      </c>
      <c r="B92">
        <v>2.75</v>
      </c>
      <c r="C92">
        <f t="shared" si="4"/>
        <v>0.26146788990825681</v>
      </c>
    </row>
    <row r="93" spans="1:3" x14ac:dyDescent="0.45">
      <c r="A93" s="5" t="s">
        <v>26</v>
      </c>
      <c r="B93">
        <v>3.89</v>
      </c>
      <c r="C93">
        <f t="shared" si="4"/>
        <v>0.41454545454545461</v>
      </c>
    </row>
    <row r="94" spans="1:3" x14ac:dyDescent="0.45">
      <c r="A94" s="6" t="s">
        <v>25</v>
      </c>
      <c r="B94">
        <v>6.7675999999999998</v>
      </c>
      <c r="C94" s="3">
        <f t="shared" si="4"/>
        <v>0.73974293059125951</v>
      </c>
    </row>
    <row r="95" spans="1:3" x14ac:dyDescent="0.45">
      <c r="A95" s="6" t="s">
        <v>24</v>
      </c>
      <c r="B95">
        <v>9.3523999999999994</v>
      </c>
      <c r="C95">
        <f t="shared" si="4"/>
        <v>0.38193746675335416</v>
      </c>
    </row>
    <row r="96" spans="1:3" x14ac:dyDescent="0.45">
      <c r="A96" s="6" t="s">
        <v>23</v>
      </c>
      <c r="B96">
        <v>12.7439</v>
      </c>
      <c r="C96">
        <f t="shared" si="4"/>
        <v>0.36263419015439896</v>
      </c>
    </row>
    <row r="97" spans="1:3" x14ac:dyDescent="0.45">
      <c r="A97" s="5" t="s">
        <v>22</v>
      </c>
      <c r="B97">
        <v>16.663499999999999</v>
      </c>
      <c r="C97">
        <f t="shared" si="4"/>
        <v>0.30756675742904444</v>
      </c>
    </row>
    <row r="98" spans="1:3" x14ac:dyDescent="0.45">
      <c r="A98" s="5" t="s">
        <v>21</v>
      </c>
      <c r="B98">
        <v>21.449100000000001</v>
      </c>
      <c r="C98">
        <f t="shared" si="4"/>
        <v>0.2871905662075796</v>
      </c>
    </row>
    <row r="99" spans="1:3" x14ac:dyDescent="0.45">
      <c r="A99" s="5" t="s">
        <v>20</v>
      </c>
      <c r="B99">
        <v>26.866700000000002</v>
      </c>
      <c r="C99">
        <f t="shared" si="4"/>
        <v>0.25257936230424588</v>
      </c>
    </row>
    <row r="100" spans="1:3" x14ac:dyDescent="0.45">
      <c r="A100" s="5" t="s">
        <v>19</v>
      </c>
      <c r="B100">
        <v>33.268700000000003</v>
      </c>
      <c r="C100">
        <f t="shared" si="4"/>
        <v>0.23828754554895096</v>
      </c>
    </row>
    <row r="101" spans="1:3" x14ac:dyDescent="0.45">
      <c r="A101" s="5" t="s">
        <v>18</v>
      </c>
      <c r="B101">
        <v>39.765700000000002</v>
      </c>
      <c r="C101">
        <f t="shared" si="4"/>
        <v>0.19528866472089379</v>
      </c>
    </row>
    <row r="102" spans="1:3" x14ac:dyDescent="0.45">
      <c r="A102" s="5" t="s">
        <v>17</v>
      </c>
      <c r="B102">
        <v>55.871400000000001</v>
      </c>
      <c r="C102">
        <f t="shared" si="4"/>
        <v>0.40501487462813424</v>
      </c>
    </row>
    <row r="103" spans="1:3" x14ac:dyDescent="0.45">
      <c r="A103" s="5" t="s">
        <v>16</v>
      </c>
      <c r="B103">
        <v>71.860799999999998</v>
      </c>
      <c r="C103">
        <f t="shared" si="4"/>
        <v>0.28618219697376468</v>
      </c>
    </row>
    <row r="104" spans="1:3" x14ac:dyDescent="0.45">
      <c r="A104" s="5" t="s">
        <v>15</v>
      </c>
      <c r="B104">
        <v>91.179900000000004</v>
      </c>
      <c r="C104">
        <f t="shared" si="4"/>
        <v>0.26884059181083436</v>
      </c>
    </row>
    <row r="105" spans="1:3" x14ac:dyDescent="0.45">
      <c r="A105" s="5" t="s">
        <v>14</v>
      </c>
      <c r="B105">
        <v>109.57299999999999</v>
      </c>
      <c r="C105">
        <f t="shared" si="4"/>
        <v>0.20172318679884479</v>
      </c>
    </row>
    <row r="106" spans="1:3" x14ac:dyDescent="0.45">
      <c r="A106" s="5" t="s">
        <v>13</v>
      </c>
      <c r="B106">
        <v>130.7038</v>
      </c>
      <c r="C106">
        <f t="shared" si="4"/>
        <v>0.1928467779471221</v>
      </c>
    </row>
    <row r="107" spans="1:3" x14ac:dyDescent="0.45">
      <c r="A107" s="4" t="s">
        <v>8</v>
      </c>
      <c r="B107">
        <v>772.79309999999998</v>
      </c>
    </row>
    <row r="108" spans="1:3" x14ac:dyDescent="0.45">
      <c r="A108" s="5" t="s">
        <v>32</v>
      </c>
      <c r="B108">
        <v>3.97</v>
      </c>
    </row>
    <row r="109" spans="1:3" x14ac:dyDescent="0.45">
      <c r="A109" s="5" t="s">
        <v>31</v>
      </c>
      <c r="B109">
        <v>4.05</v>
      </c>
      <c r="C109">
        <f t="shared" ref="C109:C127" si="5">(B109-B108)/B108</f>
        <v>2.0151133501259352E-2</v>
      </c>
    </row>
    <row r="110" spans="1:3" x14ac:dyDescent="0.45">
      <c r="A110" s="5" t="s">
        <v>30</v>
      </c>
      <c r="B110">
        <v>5.09</v>
      </c>
      <c r="C110">
        <f t="shared" si="5"/>
        <v>0.25679012345679014</v>
      </c>
    </row>
    <row r="111" spans="1:3" x14ac:dyDescent="0.45">
      <c r="A111" s="5" t="s">
        <v>29</v>
      </c>
      <c r="B111">
        <v>5.89</v>
      </c>
      <c r="C111">
        <f t="shared" si="5"/>
        <v>0.15717092337917482</v>
      </c>
    </row>
    <row r="112" spans="1:3" x14ac:dyDescent="0.45">
      <c r="A112" s="5" t="s">
        <v>28</v>
      </c>
      <c r="B112">
        <v>7.39</v>
      </c>
      <c r="C112">
        <f t="shared" si="5"/>
        <v>0.25466893039049238</v>
      </c>
    </row>
    <row r="113" spans="1:3" x14ac:dyDescent="0.45">
      <c r="A113" s="5" t="s">
        <v>27</v>
      </c>
      <c r="B113">
        <v>8.93</v>
      </c>
      <c r="C113">
        <f t="shared" si="5"/>
        <v>0.2083897158322057</v>
      </c>
    </row>
    <row r="114" spans="1:3" x14ac:dyDescent="0.45">
      <c r="A114" s="5" t="s">
        <v>26</v>
      </c>
      <c r="B114">
        <v>10.050000000000001</v>
      </c>
      <c r="C114">
        <f t="shared" si="5"/>
        <v>0.1254199328107504</v>
      </c>
    </row>
    <row r="115" spans="1:3" x14ac:dyDescent="0.45">
      <c r="A115" s="6" t="s">
        <v>25</v>
      </c>
      <c r="B115">
        <v>12.324999999999999</v>
      </c>
      <c r="C115">
        <f t="shared" si="5"/>
        <v>0.22636815920397993</v>
      </c>
    </row>
    <row r="116" spans="1:3" x14ac:dyDescent="0.45">
      <c r="A116" s="6" t="s">
        <v>24</v>
      </c>
      <c r="B116">
        <v>15.078900000000001</v>
      </c>
      <c r="C116">
        <f t="shared" si="5"/>
        <v>0.22344016227180541</v>
      </c>
    </row>
    <row r="117" spans="1:3" x14ac:dyDescent="0.45">
      <c r="A117" s="6" t="s">
        <v>23</v>
      </c>
      <c r="B117">
        <v>19.886900000000001</v>
      </c>
      <c r="C117">
        <f t="shared" si="5"/>
        <v>0.3188561499844153</v>
      </c>
    </row>
    <row r="118" spans="1:3" x14ac:dyDescent="0.45">
      <c r="A118" s="5" t="s">
        <v>22</v>
      </c>
      <c r="B118">
        <v>23.121300000000002</v>
      </c>
      <c r="C118">
        <f t="shared" si="5"/>
        <v>0.16263972765991686</v>
      </c>
    </row>
    <row r="119" spans="1:3" x14ac:dyDescent="0.45">
      <c r="A119" s="5" t="s">
        <v>21</v>
      </c>
      <c r="B119">
        <v>30.3568</v>
      </c>
      <c r="C119">
        <f t="shared" si="5"/>
        <v>0.31293655633550005</v>
      </c>
    </row>
    <row r="120" spans="1:3" x14ac:dyDescent="0.45">
      <c r="A120" s="5" t="s">
        <v>20</v>
      </c>
      <c r="B120">
        <v>37.659700000000001</v>
      </c>
      <c r="C120">
        <f t="shared" si="5"/>
        <v>0.24056883465977971</v>
      </c>
    </row>
    <row r="121" spans="1:3" x14ac:dyDescent="0.45">
      <c r="A121" s="5" t="s">
        <v>19</v>
      </c>
      <c r="B121">
        <v>44.638300000000001</v>
      </c>
      <c r="C121">
        <f t="shared" si="5"/>
        <v>0.18530683993765218</v>
      </c>
    </row>
    <row r="122" spans="1:3" x14ac:dyDescent="0.45">
      <c r="A122" s="5" t="s">
        <v>18</v>
      </c>
      <c r="B122">
        <v>50.340899999999998</v>
      </c>
      <c r="C122">
        <f t="shared" si="5"/>
        <v>0.12775128085074916</v>
      </c>
    </row>
    <row r="123" spans="1:3" x14ac:dyDescent="0.45">
      <c r="A123" s="5" t="s">
        <v>17</v>
      </c>
      <c r="B123">
        <v>63.513300000000001</v>
      </c>
      <c r="C123">
        <f t="shared" si="5"/>
        <v>0.26166397501832511</v>
      </c>
    </row>
    <row r="124" spans="1:3" x14ac:dyDescent="0.45">
      <c r="A124" s="5" t="s">
        <v>16</v>
      </c>
      <c r="B124">
        <v>79.055000000000007</v>
      </c>
      <c r="C124">
        <f t="shared" si="5"/>
        <v>0.24469992899125073</v>
      </c>
    </row>
    <row r="125" spans="1:3" x14ac:dyDescent="0.45">
      <c r="A125" s="5" t="s">
        <v>15</v>
      </c>
      <c r="B125">
        <v>97.617800000000003</v>
      </c>
      <c r="C125">
        <f t="shared" si="5"/>
        <v>0.23480867750300416</v>
      </c>
    </row>
    <row r="126" spans="1:3" x14ac:dyDescent="0.45">
      <c r="A126" s="5" t="s">
        <v>14</v>
      </c>
      <c r="B126">
        <v>119.0505</v>
      </c>
      <c r="C126">
        <f t="shared" si="5"/>
        <v>0.21955729385419459</v>
      </c>
    </row>
    <row r="127" spans="1:3" x14ac:dyDescent="0.45">
      <c r="A127" s="5" t="s">
        <v>13</v>
      </c>
      <c r="B127">
        <v>134.77869999999999</v>
      </c>
      <c r="C127">
        <f t="shared" si="5"/>
        <v>0.13211368284887495</v>
      </c>
    </row>
    <row r="128" spans="1:3" x14ac:dyDescent="0.45">
      <c r="A128" s="4" t="s">
        <v>9</v>
      </c>
      <c r="B128">
        <v>1605.4911000000002</v>
      </c>
    </row>
    <row r="129" spans="1:3" x14ac:dyDescent="0.45">
      <c r="A129" s="5" t="s">
        <v>32</v>
      </c>
      <c r="B129">
        <v>6.61</v>
      </c>
    </row>
    <row r="130" spans="1:3" x14ac:dyDescent="0.45">
      <c r="A130" s="5" t="s">
        <v>31</v>
      </c>
      <c r="B130">
        <v>9.52</v>
      </c>
      <c r="C130">
        <f t="shared" ref="C130:C148" si="6">(B130-B129)/B129</f>
        <v>0.44024205748865342</v>
      </c>
    </row>
    <row r="131" spans="1:3" x14ac:dyDescent="0.45">
      <c r="A131" s="5" t="s">
        <v>30</v>
      </c>
      <c r="B131">
        <v>11.98</v>
      </c>
      <c r="C131">
        <f t="shared" si="6"/>
        <v>0.2584033613445379</v>
      </c>
    </row>
    <row r="132" spans="1:3" x14ac:dyDescent="0.45">
      <c r="A132" s="5" t="s">
        <v>29</v>
      </c>
      <c r="B132">
        <v>13.13</v>
      </c>
      <c r="C132">
        <f t="shared" si="6"/>
        <v>9.5993322203672821E-2</v>
      </c>
    </row>
    <row r="133" spans="1:3" x14ac:dyDescent="0.45">
      <c r="A133" s="5" t="s">
        <v>28</v>
      </c>
      <c r="B133">
        <v>16.32</v>
      </c>
      <c r="C133">
        <f t="shared" si="6"/>
        <v>0.2429550647372429</v>
      </c>
    </row>
    <row r="134" spans="1:3" x14ac:dyDescent="0.45">
      <c r="A134" s="5" t="s">
        <v>27</v>
      </c>
      <c r="B134">
        <v>20.84</v>
      </c>
      <c r="C134">
        <f t="shared" si="6"/>
        <v>0.27696078431372545</v>
      </c>
    </row>
    <row r="135" spans="1:3" x14ac:dyDescent="0.45">
      <c r="A135" s="5" t="s">
        <v>26</v>
      </c>
      <c r="B135">
        <v>24.31</v>
      </c>
      <c r="C135">
        <f t="shared" si="6"/>
        <v>0.16650671785028787</v>
      </c>
    </row>
    <row r="136" spans="1:3" x14ac:dyDescent="0.45">
      <c r="A136" s="6" t="s">
        <v>25</v>
      </c>
      <c r="B136">
        <v>28.891400000000001</v>
      </c>
      <c r="C136">
        <f t="shared" si="6"/>
        <v>0.18845742492801326</v>
      </c>
    </row>
    <row r="137" spans="1:3" x14ac:dyDescent="0.45">
      <c r="A137" s="6" t="s">
        <v>24</v>
      </c>
      <c r="B137">
        <v>32.5105</v>
      </c>
      <c r="C137">
        <f t="shared" si="6"/>
        <v>0.12526564998580891</v>
      </c>
    </row>
    <row r="138" spans="1:3" x14ac:dyDescent="0.45">
      <c r="A138" s="6" t="s">
        <v>23</v>
      </c>
      <c r="B138">
        <v>37.855699999999999</v>
      </c>
      <c r="C138">
        <f t="shared" si="6"/>
        <v>0.16441457375309509</v>
      </c>
    </row>
    <row r="139" spans="1:3" x14ac:dyDescent="0.45">
      <c r="A139" s="5" t="s">
        <v>22</v>
      </c>
      <c r="B139">
        <v>44.436700000000002</v>
      </c>
      <c r="C139">
        <f t="shared" si="6"/>
        <v>0.17384436161529185</v>
      </c>
    </row>
    <row r="140" spans="1:3" x14ac:dyDescent="0.45">
      <c r="A140" s="5" t="s">
        <v>21</v>
      </c>
      <c r="B140">
        <v>54.152200000000001</v>
      </c>
      <c r="C140">
        <f t="shared" si="6"/>
        <v>0.21863684747067172</v>
      </c>
    </row>
    <row r="141" spans="1:3" x14ac:dyDescent="0.45">
      <c r="A141" s="5" t="s">
        <v>20</v>
      </c>
      <c r="B141">
        <v>64.366100000000003</v>
      </c>
      <c r="C141">
        <f t="shared" si="6"/>
        <v>0.18861468232130923</v>
      </c>
    </row>
    <row r="142" spans="1:3" x14ac:dyDescent="0.45">
      <c r="A142" s="5" t="s">
        <v>19</v>
      </c>
      <c r="B142">
        <v>78.415400000000005</v>
      </c>
      <c r="C142">
        <f t="shared" si="6"/>
        <v>0.21827172999451577</v>
      </c>
    </row>
    <row r="143" spans="1:3" x14ac:dyDescent="0.45">
      <c r="A143" s="5" t="s">
        <v>18</v>
      </c>
      <c r="B143">
        <v>93.945599999999999</v>
      </c>
      <c r="C143">
        <f t="shared" si="6"/>
        <v>0.1980503829604898</v>
      </c>
    </row>
    <row r="144" spans="1:3" x14ac:dyDescent="0.45">
      <c r="A144" s="5" t="s">
        <v>17</v>
      </c>
      <c r="B144">
        <v>129.93209999999999</v>
      </c>
      <c r="C144">
        <f t="shared" si="6"/>
        <v>0.38305679031269152</v>
      </c>
    </row>
    <row r="145" spans="1:3" x14ac:dyDescent="0.45">
      <c r="A145" s="5" t="s">
        <v>16</v>
      </c>
      <c r="B145">
        <v>167.6489</v>
      </c>
      <c r="C145">
        <f t="shared" si="6"/>
        <v>0.29028084668838577</v>
      </c>
    </row>
    <row r="146" spans="1:3" x14ac:dyDescent="0.45">
      <c r="A146" s="5" t="s">
        <v>15</v>
      </c>
      <c r="B146">
        <v>212.46129999999999</v>
      </c>
      <c r="C146">
        <f t="shared" si="6"/>
        <v>0.2672990994870828</v>
      </c>
    </row>
    <row r="147" spans="1:3" x14ac:dyDescent="0.45">
      <c r="A147" s="5" t="s">
        <v>14</v>
      </c>
      <c r="B147">
        <v>257.67570000000001</v>
      </c>
      <c r="C147">
        <f t="shared" si="6"/>
        <v>0.21281240395309647</v>
      </c>
    </row>
    <row r="148" spans="1:3" x14ac:dyDescent="0.45">
      <c r="A148" s="5" t="s">
        <v>13</v>
      </c>
      <c r="B148">
        <v>300.48950000000002</v>
      </c>
      <c r="C148">
        <f t="shared" si="6"/>
        <v>0.16615381271885557</v>
      </c>
    </row>
    <row r="149" spans="1:3" x14ac:dyDescent="0.45">
      <c r="A149" s="4" t="s">
        <v>12</v>
      </c>
      <c r="B149">
        <v>4978.0357999999987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growth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2025-06-25T09:22:45Z</dcterms:created>
  <dcterms:modified xsi:type="dcterms:W3CDTF">2025-07-10T14:34:27Z</dcterms:modified>
</cp:coreProperties>
</file>